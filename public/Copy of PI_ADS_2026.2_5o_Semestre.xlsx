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a" sheetId="1" r:id="rId4"/>
    <sheet state="visible" name="Matriz Intersecção 5S" sheetId="2" r:id="rId5"/>
    <sheet state="visible" name="Entregas 5S" sheetId="3" r:id="rId6"/>
    <sheet state="visible" name="Rubricas 5S" sheetId="4" r:id="rId7"/>
    <sheet state="visible" name="Roadmap Projeto 5S" sheetId="5" r:id="rId8"/>
    <sheet state="visible" name="Quadro de Acompanhamento 5S" sheetId="6" r:id="rId9"/>
  </sheets>
  <definedNames/>
  <calcPr/>
</workbook>
</file>

<file path=xl/sharedStrings.xml><?xml version="1.0" encoding="utf-8"?>
<sst xmlns="http://schemas.openxmlformats.org/spreadsheetml/2006/main" count="553" uniqueCount="441">
  <si>
    <t xml:space="preserve">  Projetos Integradores ADS 2026.2</t>
  </si>
  <si>
    <t>Planilha operacional — 5º Semestre</t>
  </si>
  <si>
    <t>Projeto: Cidade Conectada — app mobile de gestão de demandas urbanas (Smart City)</t>
  </si>
  <si>
    <t>Abas desta planilha:</t>
  </si>
  <si>
    <t>• Matriz Intersecção 5S — Papel, conteúdos, contribuição, conexões, entregas U1/U2, início, dependências, riscos e comunicação por disciplina.</t>
  </si>
  <si>
    <t>• Entregas 5S — Detalhamento das entregas por disciplina e unidade (artefatos, critérios, evidências, dependências, momento).</t>
  </si>
  <si>
    <t>• Rubricas 5S — Rubricas de U1 e U2 por disciplina (Critério, Peso, Excelente, Bom, Suficiente, Insuficiente).</t>
  </si>
  <si>
    <t>• Roadmap Projeto 5S — Roadmap semanal da disciplina de Projeto.</t>
  </si>
  <si>
    <t>• Comunicação 5S — Checkpoints, fluxos de informação e quadro compartilhado.</t>
  </si>
  <si>
    <t>• Riscos 5S — Riscos do 2º semestre e mitigações.</t>
  </si>
  <si>
    <t>Observação: a rubrica de cada disciplina técnica corresponde ao bloco do Projeto Integrador, que vale ≥40% da nota de cada unidade. Os pesos somam 100% dentro desse bloco.</t>
  </si>
  <si>
    <t>Cada semestre possui seu próprio documento e planilha. Documento de uso da coordenação e dos professores das disciplinas do período.</t>
  </si>
  <si>
    <t>Matriz de Interseção entre Disciplinas — 5º Semestre</t>
  </si>
  <si>
    <t>Semestre</t>
  </si>
  <si>
    <t>Disciplina</t>
  </si>
  <si>
    <t>Papel no PI</t>
  </si>
  <si>
    <t>Conteúdos aplicáveis</t>
  </si>
  <si>
    <t>Contribuição técnica</t>
  </si>
  <si>
    <t>Conexão com as demais</t>
  </si>
  <si>
    <t>Entregas — Unidade 1</t>
  </si>
  <si>
    <t>Entregas — Unidade 2</t>
  </si>
  <si>
    <t>Momento de início</t>
  </si>
  <si>
    <t>Dependências</t>
  </si>
  <si>
    <t>Riscos de desalinhamento</t>
  </si>
  <si>
    <t>Comunicação com Projeto</t>
  </si>
  <si>
    <t>2º</t>
  </si>
  <si>
    <t>Desenvolvimento Mobile</t>
  </si>
  <si>
    <t>Construir o aplicativo mobile (React Native) do cidadão e o backend/API necessário para sustentá-lo, dando continuidade ao case de 2026.1.</t>
  </si>
  <si>
    <t>React Native, componentes e navegação, gerenciamento de estado, acesso a recursos do dispositivo (câmera, GPS, notificações, armazenamento local), consumo de APIs, build e empacotamento.</t>
  </si>
  <si>
    <t>Entrega o app executável (núcleo do produto) e o backend que o sustenta, integrando as camadas de segurança, dados e modelo de negócio.</t>
  </si>
  <si>
    <t>Aplica os controles definidos por SEG; consome e expõe dados para a camada de DADOS; implementa a jornada/proposta de NEG; é operado e monitorado conforme DOPS; entrega o produto à Projeto 5.</t>
  </si>
  <si>
    <t>App inicial (navegação, login, registro de demanda com foto e GPS, listagem e acompanhamento) consumindo um backend inicial; build rodando em dispositivo/emulador.</t>
  </si>
  <si>
    <t>App completo (notificações, refinamento de UX, modo offline básico) integrado ao backend, à segurança e à camada de dados; versão final empacotada.</t>
  </si>
  <si>
    <t>Semana 1–2.</t>
  </si>
  <si>
    <t>Requisitos de segurança (SEG); contrato de dados (DADOS); jornada e proposta de valor (NEG).</t>
  </si>
  <si>
    <t>App sem backend real; recursos do dispositivo (câmera/GPS) não utilizados; escopo do app grande demais para o período.</t>
  </si>
  <si>
    <t>Status do app/backend/build, telas concluídas por sprint, link do repositório e integrações pendentes.</t>
  </si>
  <si>
    <t>Segurança da Informação</t>
  </si>
  <si>
    <t>Definir e implementar os requisitos e controles de segurança e a conformidade com a LGPD, já que o app trata dados de cidadãos.</t>
  </si>
  <si>
    <t>Princípios de segurança, autenticação e autorização, criptografia (em trânsito e em repouso), gestão de credenciais/tokens, análise de riscos e ameaças, LGPD, logging e auditoria.</t>
  </si>
  <si>
    <t>Garante a proteção dos dados e a conformidade legal; define os controles que o app e o backend devem implementar.</t>
  </si>
  <si>
    <t>Define controles para MOB implementar; orienta DADOS e DOPS quanto à proteção e à anonimização; alinha com NEG os aspectos legais (LGPD).</t>
  </si>
  <si>
    <t>Análise de riscos e requisitos de segurança + modelo de autenticação/autorização + plano de conformidade com a LGPD.</t>
  </si>
  <si>
    <t>Implementação e validação dos controles (autenticação, criptografia, armazenamento seguro de tokens, logs/auditoria) e relatório de conformidade e de teste de segurança básico.</t>
  </si>
  <si>
    <t>Semana 2–3.</t>
  </si>
  <si>
    <t>Arquitetura do app e do backend (MOB).</t>
  </si>
  <si>
    <t>Segurança tratada só no papel; armazenamento inseguro de tokens; LGPD ignorada.</t>
  </si>
  <si>
    <t>Requisitos e controles definidos, status de implementação e achados de segurança.</t>
  </si>
  <si>
    <t>Negócios na Internet</t>
  </si>
  <si>
    <t>Estruturar o modelo de negócio digital da plataforma no contexto de setor público, com proposta de valor, jornada, indicadores e aspectos legais.</t>
  </si>
  <si>
    <t>Modelos de negócio digitais, proposta de valor, jornada do usuário, métricas e KPIs, aspectos legais e sustentabilidade da solução.</t>
  </si>
  <si>
    <t>Dá sentido de produto e de serviço público à solução; define os KPIs e a jornada que o app deve atender.</t>
  </si>
  <si>
    <t>Orienta MOB sobre a jornada e as funcionalidades de maior valor; usa os indicadores da camada de DADOS; alinha com SEG os aspectos legais.</t>
  </si>
  <si>
    <t>Personas, Mapeamento de Stakeholders, Jornada do usuário e Modelo de negócio (canvas)</t>
  </si>
  <si>
    <t>Definição dos KPIs do negócio. Plano de sustentabilidade e análise dos KPIs; aspectos legais consolidados.</t>
  </si>
  <si>
    <t>Semana 2.</t>
  </si>
  <si>
    <t>Visão do produto (MOB) e indicadores (DADOS).</t>
  </si>
  <si>
    <t>Modelo genérico, desconectado do app; KPIs sem ligação com os dados reais da plataforma.</t>
  </si>
  <si>
    <t>Canvas e KPIs definidos e status da análise.</t>
  </si>
  <si>
    <t>Engenharia e Ciência de Dados e Big Data (Eletiva)</t>
  </si>
  <si>
    <t>Projetar o pipeline de dados (ETL) das demandas e a camada de analytics, com estratégias de armazenamento e indicadores.</t>
  </si>
  <si>
    <t>Engenharia e ciência de dados, ETL, armazenamento relacional e não relacional, análise de dados, fundamentos de big data e visualização.</t>
  </si>
  <si>
    <t>Transforma os dados de demandas em indicadores e insights (volume, tempo de atendimento, regiões críticas) que alimentam os painéis e os KPIs.</t>
  </si>
  <si>
    <t>Consome dados do backend (MOB); fornece indicadores para NEG; alinha com DOPS a operação do pipeline; respeita a proteção definida por SEG.</t>
  </si>
  <si>
    <t>Modelo de dados analíticos + pipeline ETL inicial das demandas + primeiras análises (volume por categoria/região).</t>
  </si>
  <si>
    <t>Analytics consolidado (tempo de atendimento, regiões críticas, tendências) + painel; (opcional) ingestão em maior volume com dados sintéticos.</t>
  </si>
  <si>
    <t>Semana 3.</t>
  </si>
  <si>
    <t>Dados do backend (MOB); proteção e anonimização (SEG).</t>
  </si>
  <si>
    <t>Analytics descolado do app; pipeline manual e sem reprodutibilidade.</t>
  </si>
  <si>
    <t>Pipeline e indicadores, status do painel e principais achados.</t>
  </si>
  <si>
    <t>Testes Automatizados (Eletiva)</t>
  </si>
  <si>
    <t>Definir e implementar a estratégia de testes automatizados do app e do backend em duas etapas: fundação da automação na U1 (plano, modelagem e testes executáveis) e Continuous Testing na U2 (pipeline, E2E e métricas), com apoio crítico de IA Generativa.</t>
  </si>
  <si>
    <t>Fundamentos de testes, Shift Left, conceitos e ferramentas de automação, arquitetura e frameworks de automação, testes de API, Continuous Testing e CI/CD, métricas e relatórios, manutenção da automação, IA Generativa aplicada a testes.</t>
  </si>
  <si>
    <t>Entrega a suíte de testes automatizados (unidade, API e E2E) e a pipeline que a executa, com métricas e relatórios que sustentam a decisão de qualidade sobre o produto.</t>
  </si>
  <si>
    <t>Testa o app e o backend de MOB; verifica os controles definidos por SEG; usa massa de dados e indicadores de DADOS; valida os fluxos de valor e KPIs de NEG; reporta a qualidade à Projeto 5.</t>
  </si>
  <si>
    <t>Plano de Testes do produto + suíte de casos modelada a partir dos critérios de aceite + testes automatizados de unidade e de API executando localmente de forma reprodutível + backlog de automação priorizado + registro dos prompts e da revisão crítica dos artefatos gerados por IA.</t>
  </si>
  <si>
    <t>Pipeline de testes executando por commit/PR (Continuous Testing) + suíte E2E dos fluxos principais sobre o app integrado + relatório de métricas de teste com interpretação + evidência de manutenção da suíte.</t>
  </si>
  <si>
    <t>Semana 2–3 (aulas 2 e 3, a partir de 12/8).</t>
  </si>
  <si>
    <t>Critérios de aceite das histórias (MOB/NEG); backend com endpoints disponíveis (MOB); telas navegáveis até 26/8 para o laboratório mobile (MOB); requisitos de segurança (SEG); massa de dados (DADOS).</t>
  </si>
  <si>
    <t>Automação restrita a exemplos genéricos em vez do app real; testes não reprodutíveis fora da máquina do autor; pipeline deixada para a última semana; casos gerados por IA aceitos sem revisão.</t>
  </si>
  <si>
    <t>Plano e backlog de automação, status da suíte e da pipeline, métricas de execução, defeitos abertos e riscos de qualidade.</t>
  </si>
  <si>
    <t>Projeto 5 (disciplina de Projeto)</t>
  </si>
  <si>
    <t>Acompanhar processo, organização, planejamento, evolução e integração entre disciplinas. Não avalia profundamente as escolhas técnicas de cada área.</t>
  </si>
  <si>
    <t>Gestão de processo e de pessoas, MVP, validação, ritos ágeis, estruturação da entrega final.</t>
  </si>
  <si>
    <t>Reuniões semanais por squad, monitoramento do quadro e do cronograma, integração entre disciplinas, garantia dos marcos e da apresentação final.</t>
  </si>
  <si>
    <t>Ponto focal entre todas as disciplinas; consolida feedbacks, riscos e o calendário único de entregas.</t>
  </si>
  <si>
    <t>Diagnóstico inicial de organização do time + acompanhamento das sprints 1–2 + checkpoint de integração da Entrega U1.</t>
  </si>
  <si>
    <t>Acompanhamento das sprints finais + preparação da apresentação + avaliação de processo e colaboração + condução da entrega integrada final.</t>
  </si>
  <si>
    <t>Semana 1.</t>
  </si>
  <si>
    <t>Recebe de cada disciplina, no kickoff, o calendário de entregas técnicas e os critérios de avaliação.</t>
  </si>
  <si>
    <t>Tornar-se dona do projeto técnico; times dependerem da Projeto para tudo; avaliar mérito técnico que não é seu papel.</t>
  </si>
  <si>
    <t>—</t>
  </si>
  <si>
    <t>Entregas por Disciplina e Unidade — 5º Semestre</t>
  </si>
  <si>
    <t>Unidade</t>
  </si>
  <si>
    <t>Entrega</t>
  </si>
  <si>
    <t>Descrição</t>
  </si>
  <si>
    <t>Objetivo pedagógico</t>
  </si>
  <si>
    <t>Relação com o PI</t>
  </si>
  <si>
    <t>Artefatos esperados</t>
  </si>
  <si>
    <t>Critérios técnicos mínimos</t>
  </si>
  <si>
    <t>Evidências</t>
  </si>
  <si>
    <t>Conteúdos da disciplina</t>
  </si>
  <si>
    <t>Momento</t>
  </si>
  <si>
    <t>Observações ao professor</t>
  </si>
  <si>
    <t>U1</t>
  </si>
  <si>
    <t>App inicial com registro de demanda (foto e GPS)</t>
  </si>
  <si>
    <t>Aplicativo React Native com navegação, login, registro de demanda (categoria, descrição, foto e localização) e acompanhamento, consumindo um backend inicial.</t>
  </si>
  <si>
    <t>Aplicar desenvolvimento mobile e o uso de recursos do dispositivo em um produto real.</t>
  </si>
  <si>
    <t>É o núcleo navegável do produto, onde as demais camadas se integram.</t>
  </si>
  <si>
    <t>Repositório Git; app React Native; backend inicial; build em dispositivo/emulador; screencast.</t>
  </si>
  <si>
    <t>Registro com foto e GPS funcionando; navegação e listagem; consumo de API; build executável.</t>
  </si>
  <si>
    <t>App rodando em dispositivo/emulador + commits distribuídos.</t>
  </si>
  <si>
    <t>React Native, navegação, câmera/GPS, consumo de APIs.</t>
  </si>
  <si>
    <t>Requisitos de segurança (SEG) e contrato de dados (DADOS).</t>
  </si>
  <si>
    <t>Semana 8–9 (fecha a U1).</t>
  </si>
  <si>
    <t>Garantir uso real da câmera e do GPS; não deixar o backend para depois.</t>
  </si>
  <si>
    <t>U2</t>
  </si>
  <si>
    <t>App completo integrado</t>
  </si>
  <si>
    <t>App final com notificações, refinamento de UX e modo offline básico, integrado ao backend, à segurança e à camada de dados; versão empacotada.</t>
  </si>
  <si>
    <t>Integrar o app às camadas das demais disciplinas e entregar uma versão final.</t>
  </si>
  <si>
    <t>Entrega o produto final que materializa o trabalho de todas as disciplinas.</t>
  </si>
  <si>
    <t>Código final do app e do backend; integração com SEG e DADOS; build empacotado; screencast.</t>
  </si>
  <si>
    <t>Fluxo completo (registrar→acompanhar→notificar); controles de segurança ativos; dados integrados.</t>
  </si>
  <si>
    <t>Demonstração end-to-end no dispositivo + build empacotado.</t>
  </si>
  <si>
    <t>Notificações, offline básico, integração, empacotamento.</t>
  </si>
  <si>
    <t>Controles de SEG; analytics de DADOS; pipeline de DOPS.</t>
  </si>
  <si>
    <t>Semana 16–17 (fecha a U2).</t>
  </si>
  <si>
    <t>Integração real entre app, backend e camadas; evitar telas isoladas.</t>
  </si>
  <si>
    <t>Análise de riscos, requisitos e plano LGPD</t>
  </si>
  <si>
    <t>Análise de riscos e ameaças, requisitos de segurança, modelo de autenticação/autorização e plano de conformidade com a LGPD.</t>
  </si>
  <si>
    <t>Aplicar princípios de segurança e proteção de dados a um produto que trata dados de cidadãos.</t>
  </si>
  <si>
    <t>Define os controles que o app e o backend precisam implementar.</t>
  </si>
  <si>
    <t>Relatório de riscos; requisitos de segurança; modelo de auth; plano de conformidade LGPD.</t>
  </si>
  <si>
    <t>Riscos relevantes identificados; requisitos claros; modelo de auth adequado; LGPD endereçada.</t>
  </si>
  <si>
    <t>Documento de segurança revisado com MOB.</t>
  </si>
  <si>
    <t>Riscos/ameaças, autenticação/autorização, LGPD.</t>
  </si>
  <si>
    <t>Arquitetura do app/backend (MOB).</t>
  </si>
  <si>
    <t>Trabalhar sobre o app real, não requisitos genéricos.</t>
  </si>
  <si>
    <t>Implementação e validação dos controles</t>
  </si>
  <si>
    <t>Implementação dos controles (autenticação, criptografia em trânsito/repouso, armazenamento seguro de tokens, logs/auditoria) e relatório de conformidade e teste de segurança básico.</t>
  </si>
  <si>
    <t>Implementar e validar segurança de fato no produto.</t>
  </si>
  <si>
    <t>Garante proteção dos dados e conformidade legal da solução.</t>
  </si>
  <si>
    <t>Controles implementados; relatório de conformidade; teste de segurança básico.</t>
  </si>
  <si>
    <t>Controles funcionando no app/backend; tokens protegidos; evidências de teste; LGPD atendida.</t>
  </si>
  <si>
    <t>Demonstração dos controles + relatório.</t>
  </si>
  <si>
    <t>Criptografia, gestão de credenciais, auditoria.</t>
  </si>
  <si>
    <t>App/backend (MOB).</t>
  </si>
  <si>
    <t>Semana 15–16 (fecha a U2).</t>
  </si>
  <si>
    <t>Exigir implementação e evidências, não apenas a descrição dos controles.</t>
  </si>
  <si>
    <t>Modelo de serviço, jornada e KPIs</t>
  </si>
  <si>
    <t>Modelo de negócio/serviço (canvas), proposta de valor, jornada do cidadão e definição dos KPIs da plataforma.</t>
  </si>
  <si>
    <t>Estruturar o serviço público digital e os indicadores de sucesso.</t>
  </si>
  <si>
    <t>Dá sentido de produto e orienta as funcionalidades de maior valor.</t>
  </si>
  <si>
    <t>Canvas; proposta de valor; mapa da jornada; lista de KPIs.</t>
  </si>
  <si>
    <t>Modelo coerente com o contexto público; jornada clara; KPIs mensuráveis.</t>
  </si>
  <si>
    <t>Documento de negócio revisado com MOB.</t>
  </si>
  <si>
    <t>Modelos de negócio, proposta de valor, KPIs.</t>
  </si>
  <si>
    <t>Visão do produto (MOB).</t>
  </si>
  <si>
    <t>Conectar os KPIs aos dados que a plataforma realmente produz.</t>
  </si>
  <si>
    <t>Adoção, sustentabilidade e análise de KPIs</t>
  </si>
  <si>
    <t>Plano de adoção/sustentabilidade e análise dos KPIs com base nos dados da plataforma; aspectos legais consolidados.</t>
  </si>
  <si>
    <t>Avaliar a viabilidade e o valor público da solução com base em evidências.</t>
  </si>
  <si>
    <t>Fecha a visão de serviço e mostra o valor da plataforma.</t>
  </si>
  <si>
    <t>Plano de adoção/sustentabilidade; análise de KPIs; consolidação legal (LGPD).</t>
  </si>
  <si>
    <t>KPIs analisados com dados reais; plano coerente; aspectos legais tratados.</t>
  </si>
  <si>
    <t>Relatório de negócio + indicadores.</t>
  </si>
  <si>
    <t>Métricas, sustentabilidade, aspectos legais.</t>
  </si>
  <si>
    <t>Indicadores (DADOS) e controles legais (SEG).</t>
  </si>
  <si>
    <t>Basear a análise nos dados gerados pela plataforma.</t>
  </si>
  <si>
    <t>Modelo analítico e pipeline ETL inicial</t>
  </si>
  <si>
    <t>Modelo de dados analíticos, pipeline ETL inicial das demandas e primeiras análises (volume por categoria/região).</t>
  </si>
  <si>
    <t>Aplicar engenharia/ciência de dados a um fluxo real de demandas.</t>
  </si>
  <si>
    <t>Transforma os dados da plataforma em informação útil.</t>
  </si>
  <si>
    <t>Modelo analítico; pipeline ETL; primeiras análises; gráficos.</t>
  </si>
  <si>
    <t>ETL funcional; modelo coerente; análises pertinentes.</t>
  </si>
  <si>
    <t>Pipeline executado sobre dados sintéticos + análises.</t>
  </si>
  <si>
    <t>ETL, armazenamento, análise de dados.</t>
  </si>
  <si>
    <t>Dados do backend (MOB).</t>
  </si>
  <si>
    <t>Usar os dados reais do app, não conjuntos genéricos.</t>
  </si>
  <si>
    <t>Analytics consolidado e painel</t>
  </si>
  <si>
    <t>Analytics consolidado (tempo de atendimento, regiões críticas, tendências) e painel; opcionalmente, ingestão em maior volume com dados sintéticos.</t>
  </si>
  <si>
    <t>Consolidar a análise e entregar indicadores acionáveis.</t>
  </si>
  <si>
    <t>Alimenta os KPIs de negócio e a visão de gestão das demandas.</t>
  </si>
  <si>
    <t>Analytics consolidado; painel de indicadores; (opcional) ingestão em volume.</t>
  </si>
  <si>
    <t>Indicadores corretos e úteis; painel integrado; qualidade dos dados.</t>
  </si>
  <si>
    <t>Painel + relatório de análise.</t>
  </si>
  <si>
    <t>Analytics, big data, visualização.</t>
  </si>
  <si>
    <t>Dados acumulados (MOB); operação (DOPS).</t>
  </si>
  <si>
    <t>Integrar o painel ao produto e aos KPIs de NEG.</t>
  </si>
  <si>
    <t>Fundação da automação: plano, modelagem e testes executáveis</t>
  </si>
  <si>
    <t>Plano de Testes do Cidade Conectada, suíte de casos modelada a partir dos critérios de aceite e testes automatizados de unidade e de API executando localmente de forma reprodutível, com backlog de automação priorizado e uso documentado de IA Generativa no refinamento de requisitos, na análise e na modelagem dos testes.</t>
  </si>
  <si>
    <t>Aplicar os fundamentos de teste e a automação desde o início do desenvolvimento (Shift Left), usando IA Generativa como apoio e não como substituta do julgamento técnico.</t>
  </si>
  <si>
    <t>Cria a rede de proteção que sustenta a evolução do app ao longo do semestre.</t>
  </si>
  <si>
    <t>Plano de Testes; suíte de casos modelada; repositório com testes automatizados (unidade e API); backlog de automação priorizado; registro dos prompts e da revisão crítica dos artefatos gerados por IA.</t>
  </si>
  <si>
    <t>Suíte executa por comando único, sem passos manuais, em outra máquina do time; testes escritos sobre o app/backend reais do projeto; casos rastreáveis aos critérios de aceite; conteúdo gerado por IA revisado e corrigido.</t>
  </si>
  <si>
    <t>Execução da suíte com relatório local + histórico de commits distribuído no squad.</t>
  </si>
  <si>
    <t>Fundamentos de testes, Shift Left, automação de testes, laboratório mobile, arquitetura de automação e testes de APIs, estratégias de automação (aulas 2 a 6).</t>
  </si>
  <si>
    <t>Critérios de aceite (MOB/NEG); backend inicial com endpoints (MOB); requisitos de segurança (SEG).</t>
  </si>
  <si>
    <t>Semana 8–9 (fecha a U1; conteúdo das aulas 3 a 6, entrega até 30/9).</t>
  </si>
  <si>
    <t>Pipeline/CI só é ensinada na aula 7 (23/9) e praticada na aula 9 (7/10): nesta unidade exigir execução local reprodutível, não CI. Cobrar revisão crítica do que a IA gerou.</t>
  </si>
  <si>
    <t>Continuous Testing, suíte E2E e qualidade</t>
  </si>
  <si>
    <t>Pipeline de testes executando automaticamente por commit/PR, suíte E2E dos fluxos principais sobre o app integrado, relatório de métricas de teste com interpretação e manutenção da suíte apoiada por IA.</t>
  </si>
  <si>
    <t>Consolidar uma solução de automação sustentável, integrada à entrega contínua e apoiada por métricas de qualidade.</t>
  </si>
  <si>
    <t>Garante que a versão final funciona de ponta a ponta e sustenta a decisão de qualidade sobre a entrega.</t>
  </si>
  <si>
    <t>Pipeline de testes configurada no repositório; suíte E2E; relatório de métricas (taxa de sucesso, cobertura, defeitos, tempo de execução); registro de manutenção da suíte.</t>
  </si>
  <si>
    <t>Execução automática a cada commit/PR; E2E sobre o app integrado ao backend real (não mock); métricas interpretadas; testes instáveis tratados e não desativados sem justificativa.</t>
  </si>
  <si>
    <t>Histórico de execuções da pipeline + relatório de qualidade.</t>
  </si>
  <si>
    <t>Continuous Testing e CI/CD, laboratório de pipeline de testes, relatórios e métricas de teste, testes de sistemas baseados em IA, manutenção da automação (aulas 7 e 9 a 13).</t>
  </si>
  <si>
    <t>App integrado (MOB); controles de segurança (SEG); massa de dados (DADOS).</t>
  </si>
  <si>
    <t>Semana 15–16 (fecha a U2; conteúdo das aulas 9 a 13, entrega até 18/11).</t>
  </si>
  <si>
    <t>A atividade assíncrona de manutenção (aula 13, 11/11) deve ser o próprio artefato de manutenção da entrega, evitando trabalho duplicado na mesma semana.</t>
  </si>
  <si>
    <t>Rubricas do Projeto Integrador — 5º Semestre (bloco PI = ≥40% da nota da unidade)</t>
  </si>
  <si>
    <t>Como usar: para cada critério, verifique os itens do checklist e selecione o nível correspondente na coluna "Nível atribuído" (menu suspenso). A % do nível e a nota do critério são calculadas automaticamente (Peso × % do nível). O total do bloco soma as notas dos critérios.</t>
  </si>
  <si>
    <t>Disciplina / Unidade</t>
  </si>
  <si>
    <t>Critério</t>
  </si>
  <si>
    <t>Peso (%)</t>
  </si>
  <si>
    <t>Checklist de verificação (itens observáveis)</t>
  </si>
  <si>
    <t>Nível atribuído</t>
  </si>
  <si>
    <t>% do nível</t>
  </si>
  <si>
    <t>Nota do critério</t>
  </si>
  <si>
    <t>Nível</t>
  </si>
  <si>
    <t>% do peso</t>
  </si>
  <si>
    <t>Desenvolvimento Mobile
— U1</t>
  </si>
  <si>
    <t>Registro de demanda (foto e GPS)</t>
  </si>
  <si>
    <t>1. Registro de demanda captura foto via câmera do dispositivo.
2. Localização (GPS) capturada corretamente no registro.
3. Categoria e descrição da demanda preenchidas e salvas.</t>
  </si>
  <si>
    <t>Excelente</t>
  </si>
  <si>
    <t>Atende a TODOS os itens do checklist.</t>
  </si>
  <si>
    <t>Navegação e consumo de API</t>
  </si>
  <si>
    <t>1. Navegação entre as telas (login, registro, acompanhamento) funciona sem erros.
2. App consome um backend real (não mock/hardcoded).
3. Listagem de demandas exibida corretamente a partir da API.</t>
  </si>
  <si>
    <t>Bom</t>
  </si>
  <si>
    <t>Atende à grande maioria dos itens, apresentando falha pontual, que não compromete o núcleo do critério.</t>
  </si>
  <si>
    <t>Build em dispositivo/emulador</t>
  </si>
  <si>
    <t>1. App roda em dispositivo físico ou emulador sem crashes.
2. Build gerado e documentado (como rodar).
3. Commits distribuídos entre os membros do squad.</t>
  </si>
  <si>
    <t>Suficiente</t>
  </si>
  <si>
    <t>Atende a pelo menos metade dos itens do checklist, com lacunas relevantes.</t>
  </si>
  <si>
    <t>Total do bloco PI</t>
  </si>
  <si>
    <t>Insuficiente</t>
  </si>
  <si>
    <t>Atende a menos da metade dos itens; funcionalidade comprometida.</t>
  </si>
  <si>
    <t>Desenvolvimento Mobile
— U2</t>
  </si>
  <si>
    <t>Integração (backend/segurança/dados)</t>
  </si>
  <si>
    <t>1. App integrado aos controles de segurança implementados por SEG.
2. App integrado à camada de dados/analytics de DADOS.
3. Fluxo completo registrar→acompanhar→notificar funcional.</t>
  </si>
  <si>
    <t>Não entregue</t>
  </si>
  <si>
    <t>Nenhum item atendido; ausente, não funcional ou não demonstrável.</t>
  </si>
  <si>
    <t>Recursos mobile (notificações/offline/UX)</t>
  </si>
  <si>
    <t>1. Notificações implementadas e funcionando.
2. Modo offline básico implementado (ex.: cache local).
3. UX refinada em relação à versão da U1 (ajustes reais aplicados).</t>
  </si>
  <si>
    <t>Regra geral válida para todos os critérios da rubrica (o checklist específico de cada critério está na coluna D).</t>
  </si>
  <si>
    <t>Empacotamento e qualidade</t>
  </si>
  <si>
    <t>1. Build empacotado (APK/IPA ou equivalente) gerado.
2. Código organizado e sem duplicação evidente.</t>
  </si>
  <si>
    <t>Segurança da Informação
— U1</t>
  </si>
  <si>
    <t>Análise de riscos e requisitos</t>
  </si>
  <si>
    <t>1. Relatório de análise de riscos e ameaças apresentado.
2. Riscos identificados são relevantes para o app real (não genéricos).
3. Requisitos de segurança derivados dos riscos identificados.</t>
  </si>
  <si>
    <t>Modelo de autenticação/autorização</t>
  </si>
  <si>
    <t>1. Modelo de autenticação definido (ex.: JWT, OAuth).
2. Modelo de autorização (níveis de acesso) definido.
3. Modelo aplicável à arquitetura real do app (MOB).</t>
  </si>
  <si>
    <t>Plano de conformidade LGPD</t>
  </si>
  <si>
    <t>1. Dados pessoais tratados pela plataforma identificados.
2. Plano de conformidade LGPD com ações concretas apresentado.</t>
  </si>
  <si>
    <t>Segurança da Informação
— U2</t>
  </si>
  <si>
    <t>Implementação dos controles</t>
  </si>
  <si>
    <t>1. Autenticação implementada e funcionando no app/backend.
2. Autorização (controle de acesso) implementada e funcionando.
3. Logs/auditoria implementados.</t>
  </si>
  <si>
    <t>Criptografia e armazenamento seguro</t>
  </si>
  <si>
    <t>1. Dados criptografados em trânsito (HTTPS/TLS).
2. Dados sensíveis criptografados em repouso.
3. Tokens armazenados de forma segura (não em texto puro).</t>
  </si>
  <si>
    <t>Conformidade e teste de segurança</t>
  </si>
  <si>
    <t>1. Relatório de conformidade LGPD apresentado.
2. Teste de segurança básico realizado (ex.: tentativa de acesso não autorizado) com evidências.</t>
  </si>
  <si>
    <t>Negócios na Internet
— U1</t>
  </si>
  <si>
    <t>Modelo de serviço (canvas)</t>
  </si>
  <si>
    <t>1. Canvas de modelo de negócio/serviço preenchido.
2. Modelo coerente com o contexto de serviço público (não genérico de startup).</t>
  </si>
  <si>
    <t>Proposta de valor e jornada</t>
  </si>
  <si>
    <t>1. Proposta de valor clara para o cidadão.
2. Mapa da jornada do cidadão elaborado, cobrindo as etapas reais do app.</t>
  </si>
  <si>
    <t>Definição de KPIs</t>
  </si>
  <si>
    <t>1. KPIs definidos são mensuráveis.
2. KPIs conectados aos dados que a plataforma realmente produz.</t>
  </si>
  <si>
    <t>Negócios na Internet
— U2</t>
  </si>
  <si>
    <t>Plano de adoção/sustentabilidade</t>
  </si>
  <si>
    <t>1. Plano de adoção do serviço pelo público-alvo apresentado.
2. Plano de sustentabilidade (financeira/operacional) apresentado.</t>
  </si>
  <si>
    <t>Análise de KPIs com dados</t>
  </si>
  <si>
    <t>1. KPIs analisados com dados reais/sintéticos da plataforma (DADOS).
2. Interpretação dos resultados apresentada (não só números).</t>
  </si>
  <si>
    <t>Aspectos legais consolidados</t>
  </si>
  <si>
    <t>1. Conformidade LGPD consolidada com a disciplina de SEG.
2. Aspectos de Governo Digital/legislação pública relevantes tratados.</t>
  </si>
  <si>
    <t>Engenharia e Ciência de Dados e Big Data (Eletiva)
— U1</t>
  </si>
  <si>
    <t>Modelo de dados analíticos</t>
  </si>
  <si>
    <t>1. Modelo de dados analíticos (ex.: esquema estrela) definido.
2. Modelo coerente com as análises pretendidas na U2.</t>
  </si>
  <si>
    <t>Pipeline ETL inicial</t>
  </si>
  <si>
    <t>1. Pipeline ETL implementado e executando sem erros.
2. Pipeline extrai dados reais do backend do app (MOB).</t>
  </si>
  <si>
    <t>Primeiras análises</t>
  </si>
  <si>
    <t>1. Análise de volume de demandas por categoria apresentada.
2. Análise de volume de demandas por região apresentada.
3. Gráficos legíveis acompanhando as análises.</t>
  </si>
  <si>
    <t>Engenharia e Ciência de Dados e Big Data (Eletiva)
— U2</t>
  </si>
  <si>
    <t>Analytics consolidado</t>
  </si>
  <si>
    <t>1. Tempo de atendimento das demandas analisado.
2. Regiões críticas identificadas.
3. Tendências ao longo do tempo analisadas.</t>
  </si>
  <si>
    <t>Painel de indicadores</t>
  </si>
  <si>
    <t>1. Painel funcional exibindo os indicadores.
2. Painel integrado ao produto (não arquivo solto).</t>
  </si>
  <si>
    <t>Qualidade e volume dos dados</t>
  </si>
  <si>
    <t>1. Dados consistentes, sem valores claramente inválidos.
2. (Opcional) ingestão em maior volume testada.</t>
  </si>
  <si>
    <t>Testes Automatizados (Eletiva)
— U1</t>
  </si>
  <si>
    <t>Plano e modelagem de testes</t>
  </si>
  <si>
    <t>1. Plano de Testes do Cidade Conectada apresentado (escopo, níveis, riscos e pirâmide de automação).
2. Casos de teste rastreáveis aos critérios de aceite das histórias.
3. Plano cobre os fluxos prioritários do app (registro e acompanhamento de demandas).</t>
  </si>
  <si>
    <t>Testes automatizados executáveis e reprodutíveis</t>
  </si>
  <si>
    <t>1. Testes automatizados de unidade e/ou de API implementados sobre o código real do projeto.
2. Suíte executa por comando único, sem passos manuais, em outra máquina do time.
3. Resultado da execução registrado (log ou relatório).</t>
  </si>
  <si>
    <t>Backlog de automação</t>
  </si>
  <si>
    <t>1. Declaração do nível de teste (unidade, API ou E2E) e a justificativa de seleção (risco, frequência ou custo do teste manual) de cada item.
2. Itens priorizados com critério explícito.
3. Itens rastreáveis aos casos do Plano de Testes.
4. Registro do que foi deliberadamente deixado fora da automação, com justificativa.</t>
  </si>
  <si>
    <t>Testes Automatizados (Eletiva)
— U2</t>
  </si>
  <si>
    <t>Pipeline de testes e Continuous Testing</t>
  </si>
  <si>
    <t>1. Pipeline de testes implementada e executando no repositório do projeto.
2. Execução disparada automaticamente por commit ou pull request.
3. Resultado da pipeline visível para o time (status e relatório de execução).</t>
  </si>
  <si>
    <t>Suíte E2E sobre o app integrado</t>
  </si>
  <si>
    <t>1. Fluxo registrar→acompanhar→notificar coberto por teste E2E automatizado.
2. Testes E2E executam sobre o app integrado ao backend real (não mock).
3. Cenários negativos/de exceção incluídos na suíte.</t>
  </si>
  <si>
    <t>Métricas e resultados da automação</t>
  </si>
  <si>
    <t>1. Relatório de métricas de teste apresentado (ex.: taxa de sucesso, cobertura, defeitos, tempo de execução).
2. Relatório interpreta os resultados e aponta riscos de qualidade (não apenas números).</t>
  </si>
  <si>
    <t>Roadmap Semanal — Disciplina de Projeto (5º Semestre)</t>
  </si>
  <si>
    <t>Semana(s)</t>
  </si>
  <si>
    <t>Foco da disciplina de Projeto</t>
  </si>
  <si>
    <t>Entregas técnicas em acompanhamento</t>
  </si>
  <si>
    <t>Disciplinas envolvidas</t>
  </si>
  <si>
    <t>Artefatos a verificar</t>
  </si>
  <si>
    <t>Perguntas de acompanhamento</t>
  </si>
  <si>
    <t>Riscos a observar</t>
  </si>
  <si>
    <t>Ações em caso de atraso/desalinhamento</t>
  </si>
  <si>
    <t>Kickoff do PI e organização das squads</t>
  </si>
  <si>
    <t>Nenhuma entrega ainda; retomada do case Smart City de 26.1 na versão mobile</t>
  </si>
  <si>
    <t>Todas</t>
  </si>
  <si>
    <t>Tema do PI, calendário (com a janela do ENADE), critérios de cada disciplina</t>
  </si>
  <si>
    <t>Os papéis estão definidos? O time entendeu que continua o case (não recomeça do zero)?</t>
  </si>
  <si>
    <t>Times sem papéis; tentativa de refazer o domínio do zero</t>
  </si>
  <si>
    <t>Mediar papéis; reforçar que o case já está definido e o foco é a versão mobile</t>
  </si>
  <si>
    <t>2–3</t>
  </si>
  <si>
    <t>Apoio à retomada do case e definição de requisitos do app</t>
  </si>
  <si>
    <t>Backlog do app (MOB), requisitos de segurança (SEG), canvas/jornada (NEG)</t>
  </si>
  <si>
    <t>MOB, SEG, NEG</t>
  </si>
  <si>
    <t>Backlog do app, requisitos de segurança, canvas e jornada</t>
  </si>
  <si>
    <t>Está claro o que já existe e o que falta construir? O escopo está enxuto?</t>
  </si>
  <si>
    <t>Refazer tudo do zero; escopo inflado para o período do ENADE</t>
  </si>
  <si>
    <t>Delimitar o que continua e o que será construído; manter o escopo enxuto</t>
  </si>
  <si>
    <t>3–4</t>
  </si>
  <si>
    <t>Setup técnico (app + backend), pipeline de dados e CI de testes</t>
  </si>
  <si>
    <t>Repositório, app inicial e backend mínimo (MOB), ETL inicial (DADOS), Plano de Testes e backlog de automação (TEST)</t>
  </si>
  <si>
    <t>MOB, DADOS, TEST</t>
  </si>
  <si>
    <t>Repositório, app inicial, backend mínimo, ETL inicial, Plano de Testes</t>
  </si>
  <si>
    <t>O ambiente está pronto? Há telas navegáveis para o laboratório de automação mobile (26/8)?</t>
  </si>
  <si>
    <t>Backend deixado de lado; pipeline manual sem reprodutibilidade; laboratório de TEST sem app para automatizar</t>
  </si>
  <si>
    <t>Cobrar backend mínimo e navegação inicial cedo; integrar as eletivas de DADOS e TEST ao repositório do squad</t>
  </si>
  <si>
    <t>5–7</t>
  </si>
  <si>
    <t>Primeira sprint (app + camadas) e convergência</t>
  </si>
  <si>
    <t>App com registro (MOB), controles de segurança (SEG), KPIs (NEG), ETL (DADOS), testes automatizados de unidade e API (TEST)</t>
  </si>
  <si>
    <t>App com registro de demanda, controles iniciais, KPIs, pipeline de dados, suíte de testes local</t>
  </si>
  <si>
    <t>As disciplinas estão convergindo para o mesmo app?</t>
  </si>
  <si>
    <t>Disciplinas trabalhando em visões diferentes do produto</t>
  </si>
  <si>
    <t>Convocar reunião de integração; consolidar uma visão única</t>
  </si>
  <si>
    <t>8–9</t>
  </si>
  <si>
    <t>Fechamento e checkpoint da Entrega U1 (atento ao ENADE)</t>
  </si>
  <si>
    <t>Entregas U1 de MOB, SEG, NEG, DADOS e TEST</t>
  </si>
  <si>
    <t>App inicial, plano de segurança, canvas/KPIs, ETL inicial, Plano de Testes e suíte automatizada executável</t>
  </si>
  <si>
    <t>As entregas U1 são coerentes e integradas? O calendário comporta o ENADE?</t>
  </si>
  <si>
    <t>Entregas desconexas; sobrecarga próxima ao ENADE</t>
  </si>
  <si>
    <t>Registrar pendências; ajustar o calendário para a janela do ENADE</t>
  </si>
  <si>
    <t>10–11</t>
  </si>
  <si>
    <t>Replanejamento da U2 e integração app, backend, dados e testes</t>
  </si>
  <si>
    <t>Integração das camadas (MOB), analytics (DADOS), controles (SEG), pipeline de testes (TEST)</t>
  </si>
  <si>
    <t>MOB, DADOS, SEG, TEST</t>
  </si>
  <si>
    <t>Integração app, backend e dados, analytics integrado, controles em implementação, pipeline de testes especificada</t>
  </si>
  <si>
    <t>O escopo da U2 é realista para o período do ENADE? A integração é real?</t>
  </si>
  <si>
    <t>Escopo inflado; integração só no fim</t>
  </si>
  <si>
    <t>Reduzir escopo se necessário; reservar tempo para o ENADE</t>
  </si>
  <si>
    <t>12–13</t>
  </si>
  <si>
    <t>Segurança, qualidade e KPIs</t>
  </si>
  <si>
    <t>Controles implementados (SEG), Continuous Testing e suíte E2E (TEST), KPIs com dados (NEG)</t>
  </si>
  <si>
    <t>SEG, TEST, NEG</t>
  </si>
  <si>
    <t>Controles ativos, pipeline executando por commit/PR, KPIs analisados com dados</t>
  </si>
  <si>
    <t>A segurança está implementada (não só no papel)? Os testes rodam a cada mudança?</t>
  </si>
  <si>
    <t>Segurança ausente ou apenas configurada; testes manuais ou fora do CI</t>
  </si>
  <si>
    <t>Cobrar implementação e evidências de segurança e de execução automatizada dos testes</t>
  </si>
  <si>
    <t>14–15</t>
  </si>
  <si>
    <t>Consolidação integrada e preparação da apresentação</t>
  </si>
  <si>
    <t>Versão final (MOB), relatório de métricas e resultados da suíte (TEST), documentação e fechamento das demais disciplinas</t>
  </si>
  <si>
    <t>Build final, documentação, roteiro de apresentação e divisão de falas</t>
  </si>
  <si>
    <t>A versão final está estável? A apresentação está estruturada?</t>
  </si>
  <si>
    <t>Integração de última hora; apresentação desorganizada</t>
  </si>
  <si>
    <t>Congelar escopo; ensaiar a apresentação</t>
  </si>
  <si>
    <t>16–17</t>
  </si>
  <si>
    <t>Apresentação final e avaliação de processo/integração</t>
  </si>
  <si>
    <t>Entrega final integrada de todas as disciplinas</t>
  </si>
  <si>
    <t>Demonstração do app, documentação, evidências de gestão</t>
  </si>
  <si>
    <t>O produto reflete a integração das disciplinas? Como foi o processo da squad?</t>
  </si>
  <si>
    <t>Avaliar mérito técnico (papel das disciplinas técnicas)</t>
  </si>
  <si>
    <t>Focar a avaliação em processo, organização e integração</t>
  </si>
  <si>
    <t>Quadro de Acompanhamento Compartilhado — Projeto Integrador (5º Semestre)</t>
  </si>
  <si>
    <t>Squad</t>
  </si>
  <si>
    <t>Semana prevista</t>
  </si>
  <si>
    <t>Status</t>
  </si>
  <si>
    <t>Dependência</t>
  </si>
  <si>
    <t>Riscos</t>
  </si>
  <si>
    <t>Observações</t>
  </si>
  <si>
    <t>MOB</t>
  </si>
  <si>
    <t>Backlog do app</t>
  </si>
  <si>
    <t>Semana 2–3</t>
  </si>
  <si>
    <t>SEG</t>
  </si>
  <si>
    <t>Requisitos de segurança</t>
  </si>
  <si>
    <t>Backlog do app (MOB)</t>
  </si>
  <si>
    <t>NEG</t>
  </si>
  <si>
    <t>Canvas/jornada</t>
  </si>
  <si>
    <t>Repositório, app inicial e backend mínimo</t>
  </si>
  <si>
    <t>Semana 3–4</t>
  </si>
  <si>
    <t>Backlog do app (MOB); Requisitos de segurança (SEG)</t>
  </si>
  <si>
    <t>DADOS</t>
  </si>
  <si>
    <t>ETL inicial</t>
  </si>
  <si>
    <t>Repositório, app inicial e backend mínimo (MOB)</t>
  </si>
  <si>
    <t>TEST</t>
  </si>
  <si>
    <t>Plano de Testes e backlog de automação</t>
  </si>
  <si>
    <t>App com registro</t>
  </si>
  <si>
    <t>Semana 5–7</t>
  </si>
  <si>
    <t>Controles de segurança</t>
  </si>
  <si>
    <t>Requisitos de segurança (SEG)</t>
  </si>
  <si>
    <t>KPIs</t>
  </si>
  <si>
    <t>Canvas/jornada (NEG)</t>
  </si>
  <si>
    <t>DADOS, TEST</t>
  </si>
  <si>
    <t>ETL (DADOS) e testes automatizados de unidade e API (TEST)</t>
  </si>
  <si>
    <t>ETL inicial (DADOS); Plano de Testes e backlog de automação (TEST)</t>
  </si>
  <si>
    <t>Entrega U1</t>
  </si>
  <si>
    <t>Semana 8–9</t>
  </si>
  <si>
    <t>App com registro (MOB)</t>
  </si>
  <si>
    <t>Controles de segurança (SEG)</t>
  </si>
  <si>
    <t>KPIs (NEG)</t>
  </si>
  <si>
    <t>Integração das camadas</t>
  </si>
  <si>
    <t>Semana 10–11</t>
  </si>
  <si>
    <t>Entrega U1 (MOB)</t>
  </si>
  <si>
    <t>Analytics</t>
  </si>
  <si>
    <t>Entrega U1 (DADOS)</t>
  </si>
  <si>
    <t>Controles (em implementação)</t>
  </si>
  <si>
    <t>Entrega U1 (SEG)</t>
  </si>
  <si>
    <t>Controles implementados</t>
  </si>
  <si>
    <t>Semana 12–13</t>
  </si>
  <si>
    <t>Controles (em implementação) (SEG)</t>
  </si>
  <si>
    <t>Pipeline de testes, Continuous Testing e suíte E2E</t>
  </si>
  <si>
    <t>Semana 10–13</t>
  </si>
  <si>
    <t>Entrega U1 (TEST); Integração das camadas (MOB)</t>
  </si>
  <si>
    <t>KPIs com dados</t>
  </si>
  <si>
    <t>Analytics (DADOS); Entrega U1 (NEG)</t>
  </si>
  <si>
    <t>Versão final</t>
  </si>
  <si>
    <t>Semana 14–15</t>
  </si>
  <si>
    <t>Integração das camadas (MOB); Controles implementados (SEG); KPIs com dados (NEG)</t>
  </si>
  <si>
    <t>SEG, NEG, DADOS, TEST</t>
  </si>
  <si>
    <t>Documentação, métricas e fechamento</t>
  </si>
  <si>
    <t>Controles implementados (SEG); KPIs com dados (NEG); Analytics (DADOS); Pipeline de testes, Continuous Testing e suíte E2E (TEST)</t>
  </si>
  <si>
    <t>Entrega final integrada</t>
  </si>
  <si>
    <t>Semana 16–17</t>
  </si>
  <si>
    <t>Versão final (MOB); Documentação e fechamento (SEG, NEG, DADOS, TEST)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</si>
</sst>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name val="Arial"/>
      <scheme val="minor"/>
    </font>
    <font>
      <b/>
      <sz val="16.0"/>
      <color rgb="FFFFFFFF"/>
      <name val="Barlow"/>
    </font>
    <font/>
    <font>
      <b/>
      <sz val="12.0"/>
      <color rgb="FFFF6002"/>
      <name val="Barlow"/>
    </font>
    <font>
      <b/>
      <sz val="11.0"/>
      <color rgb="FFC24A00"/>
      <name val="Barlow"/>
    </font>
    <font>
      <b/>
      <sz val="10.0"/>
      <color rgb="FF232323"/>
      <name val="Barlow"/>
    </font>
    <font>
      <sz val="10.0"/>
      <color rgb="FF232323"/>
      <name val="Barlow"/>
    </font>
    <font>
      <i/>
      <sz val="9.0"/>
      <color rgb="FF232323"/>
      <name val="Barlow"/>
    </font>
    <font>
      <b/>
      <sz val="11.0"/>
      <color rgb="FFFFFFFF"/>
      <name val="Barlow"/>
    </font>
    <font>
      <sz val="10.0"/>
      <color rgb="FFFF0000"/>
      <name val="Barlow"/>
    </font>
    <font>
      <b/>
      <color rgb="FF232323"/>
      <name val="Barlow"/>
    </font>
    <font>
      <color rgb="FF232323"/>
      <name val="Barlow"/>
    </font>
    <font>
      <sz val="11.0"/>
      <color/>
      <name val="Arial"/>
    </font>
    <font>
      <i/>
      <sz val="9.0"/>
      <color rgb="FF595959"/>
      <name val="Barlow"/>
    </font>
    <font>
      <sz val="9.0"/>
      <color rgb="FF232323"/>
      <name val="Barlow"/>
    </font>
    <font>
      <i/>
      <sz val="8.0"/>
      <color rgb="FF595959"/>
      <name val="Barlow"/>
    </font>
  </fonts>
  <fills count="6">
    <fill>
      <patternFill patternType="none"/>
    </fill>
    <fill>
      <patternFill patternType="lightGray"/>
    </fill>
    <fill>
      <patternFill patternType="solid">
        <fgColor rgb="FFFF6002"/>
        <bgColor rgb="FFFF6002"/>
      </patternFill>
    </fill>
    <fill>
      <patternFill patternType="solid">
        <fgColor rgb="FFFDE3D2"/>
        <bgColor rgb="FFFDE3D2"/>
      </patternFill>
    </fill>
    <fill>
      <patternFill patternType="solid">
        <fgColor rgb="FFFFD9C0"/>
        <bgColor rgb="FFFFD9C0"/>
      </patternFill>
    </fill>
    <fill>
      <patternFill patternType="solid">
        <fgColor rgb="FFC6E0B4"/>
        <bgColor rgb="FFC6E0B4"/>
      </patternFill>
    </fill>
  </fills>
  <borders count="11">
    <border/>
    <border>
      <left/>
      <right/>
      <top/>
    </border>
    <border>
      <left/>
      <right/>
    </border>
    <border>
      <left style="thin">
        <color rgb="FFE6C9B5"/>
      </left>
      <right style="thin">
        <color rgb="FFE6C9B5"/>
      </right>
      <top style="thin">
        <color rgb="FFE6C9B5"/>
      </top>
      <bottom style="thin">
        <color rgb="FFE6C9B5"/>
      </bottom>
    </border>
    <border>
      <left style="thin">
        <color rgb="FFE6B8AF"/>
      </left>
      <right style="thin">
        <color rgb="FFE6B8AF"/>
      </right>
      <top style="thin">
        <color rgb="FFE6B8AF"/>
      </top>
      <bottom style="thin">
        <color rgb="FFE6B8AF"/>
      </bottom>
    </border>
    <border>
      <left style="thin">
        <color rgb="FFE6B8AF"/>
      </left>
      <right style="thin">
        <color rgb="FFE6B8AF"/>
      </right>
      <top style="thin">
        <color rgb="FFE6B8AF"/>
      </top>
    </border>
    <border>
      <left style="thin">
        <color rgb="FFE6B8AF"/>
      </left>
      <right style="thin">
        <color rgb="FFE6B8AF"/>
      </right>
    </border>
    <border>
      <left style="thin">
        <color rgb="FFE6B8AF"/>
      </left>
      <right style="thin">
        <color rgb="FFE6B8AF"/>
      </right>
      <bottom style="thin">
        <color rgb="FFE6B8AF"/>
      </bottom>
    </border>
    <border>
      <left style="thin">
        <color rgb="FFE6B8AF"/>
      </left>
      <top style="thin">
        <color rgb="FFE6B8AF"/>
      </top>
      <bottom style="thin">
        <color rgb="FFE6B8AF"/>
      </bottom>
    </border>
    <border>
      <top style="thin">
        <color rgb="FFE6B8AF"/>
      </top>
      <bottom style="thin">
        <color rgb="FFE6B8AF"/>
      </bottom>
    </border>
    <border>
      <right style="thin">
        <color rgb="FFE6B8AF"/>
      </right>
      <top style="thin">
        <color rgb="FFE6B8AF"/>
      </top>
      <bottom style="thin">
        <color rgb="FFE6B8AF"/>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2" fillId="0" fontId="2" numFmtId="0" xfId="0" applyBorder="1" applyFont="1"/>
    <xf borderId="0" fillId="0" fontId="3" numFmtId="0" xfId="0" applyAlignment="1" applyFont="1">
      <alignment shrinkToFit="0" vertical="top" wrapText="1"/>
    </xf>
    <xf borderId="0" fillId="0" fontId="4" numFmtId="0" xfId="0" applyAlignment="1" applyFont="1">
      <alignment shrinkToFit="0" vertical="top"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7" numFmtId="0" xfId="0" applyAlignment="1" applyFont="1">
      <alignment shrinkToFit="0" vertical="top" wrapText="1"/>
    </xf>
    <xf borderId="0" fillId="0" fontId="3" numFmtId="0" xfId="0" applyAlignment="1" applyFont="1">
      <alignment shrinkToFit="0" vertical="bottom" wrapText="0"/>
    </xf>
    <xf borderId="3" fillId="2" fontId="8" numFmtId="0" xfId="0" applyAlignment="1" applyBorder="1" applyFill="1" applyFont="1">
      <alignment horizontal="center" shrinkToFit="0" vertical="center" wrapText="1"/>
    </xf>
    <xf borderId="3" fillId="3" fontId="5" numFmtId="0" xfId="0" applyAlignment="1" applyBorder="1" applyFill="1" applyFont="1">
      <alignment shrinkToFit="0" vertical="top" wrapText="1"/>
    </xf>
    <xf borderId="3" fillId="0" fontId="6" numFmtId="0" xfId="0" applyAlignment="1" applyBorder="1" applyFont="1">
      <alignment shrinkToFit="0" vertical="top" wrapText="1"/>
    </xf>
    <xf borderId="3" fillId="0" fontId="9" numFmtId="0" xfId="0" applyAlignment="1" applyBorder="1" applyFont="1">
      <alignment shrinkToFit="0" vertical="top" wrapText="1"/>
    </xf>
    <xf borderId="3" fillId="3" fontId="10" numFmtId="0" xfId="0" applyAlignment="1" applyBorder="1" applyFill="1" applyFont="1">
      <alignment shrinkToFit="0" vertical="top" wrapText="1"/>
    </xf>
    <xf borderId="3" fillId="0" fontId="11" numFmtId="0" xfId="0" applyAlignment="1" applyBorder="1" applyFont="1">
      <alignment shrinkToFit="0" vertical="top" wrapText="1"/>
    </xf>
    <xf borderId="0" fillId="0" fontId="12" numFmtId="0" xfId="0" applyAlignment="1" applyFont="1">
      <alignment vertical="bottom"/>
    </xf>
    <xf borderId="3" fillId="4" fontId="6" numFmtId="0" xfId="0" applyAlignment="1" applyBorder="1" applyFill="1" applyFont="1">
      <alignment horizontal="center" shrinkToFit="0" vertical="center" wrapText="1"/>
    </xf>
    <xf borderId="3" fillId="4" fontId="11" numFmtId="0" xfId="0" applyAlignment="1" applyBorder="1" applyFill="1" applyFont="1">
      <alignment horizontal="center" shrinkToFit="0" vertical="center" wrapText="1"/>
    </xf>
    <xf borderId="0" fillId="0" fontId="13" numFmtId="0" xfId="0" applyAlignment="1" applyFont="1">
      <alignment shrinkToFit="0" vertical="top" wrapText="1"/>
    </xf>
    <xf borderId="4" fillId="2" fontId="8" numFmtId="0" xfId="0" applyAlignment="1" applyBorder="1" applyFill="1" applyFont="1">
      <alignment horizontal="center" shrinkToFit="0" vertical="center" wrapText="1"/>
    </xf>
    <xf borderId="5" fillId="3" fontId="5" numFmtId="0" xfId="0" applyAlignment="1" applyBorder="1" applyFill="1" applyFont="1">
      <alignment shrinkToFit="0" vertical="top" wrapText="1"/>
    </xf>
    <xf borderId="4" fillId="0" fontId="5" numFmtId="0" xfId="0" applyAlignment="1" applyBorder="1" applyFont="1">
      <alignment shrinkToFit="0" vertical="top" wrapText="1"/>
    </xf>
    <xf borderId="4" fillId="0" fontId="6" numFmtId="0" xfId="0" applyAlignment="1" applyBorder="1" applyFont="1">
      <alignment horizontal="center" shrinkToFit="0" vertical="center" wrapText="1"/>
    </xf>
    <xf borderId="4" fillId="0" fontId="14" numFmtId="0" xfId="0" applyAlignment="1" applyBorder="1" applyFont="1">
      <alignment shrinkToFit="0" vertical="top" wrapText="1"/>
    </xf>
    <xf borderId="4" fillId="4" fontId="5" numFmtId="0" xfId="0" applyAlignment="1" applyBorder="1" applyFill="1" applyFont="1">
      <alignment horizontal="center" shrinkToFit="0" vertical="center" wrapText="0"/>
    </xf>
    <xf borderId="4" fillId="0" fontId="6" numFmtId="9" xfId="0" applyAlignment="1" applyBorder="1" applyFont="1" applyNumberFormat="1">
      <alignment horizontal="center" shrinkToFit="0" vertical="center" wrapText="0"/>
    </xf>
    <xf borderId="4" fillId="0" fontId="6" numFmtId="164" xfId="0" applyAlignment="1" applyBorder="1" applyFont="1" applyNumberFormat="1">
      <alignment horizontal="center" shrinkToFit="0" vertical="center" wrapText="0"/>
    </xf>
    <xf borderId="4" fillId="3" fontId="5" numFmtId="0" xfId="0" applyAlignment="1" applyBorder="1" applyFill="1" applyFont="1">
      <alignment horizontal="center" shrinkToFit="0" vertical="center" wrapText="1"/>
    </xf>
    <xf borderId="4" fillId="3" fontId="6" numFmtId="9" xfId="0" applyAlignment="1" applyBorder="1" applyFill="1" applyFont="1" applyNumberFormat="1">
      <alignment horizontal="center" shrinkToFit="0" vertical="center" wrapText="0"/>
    </xf>
    <xf borderId="4" fillId="3" fontId="14" numFmtId="0" xfId="0" applyAlignment="1" applyBorder="1" applyFill="1" applyFont="1">
      <alignment shrinkToFit="0" vertical="top" wrapText="1"/>
    </xf>
    <xf borderId="6" fillId="0" fontId="2" numFmtId="0" xfId="0" applyBorder="1" applyFont="1"/>
    <xf borderId="7" fillId="0" fontId="2" numFmtId="0" xfId="0" applyBorder="1" applyFont="1"/>
    <xf borderId="4" fillId="5" fontId="5" numFmtId="0" xfId="0" applyAlignment="1" applyBorder="1" applyFill="1" applyFont="1">
      <alignment shrinkToFit="0" vertical="center" wrapText="1"/>
    </xf>
    <xf borderId="4" fillId="5" fontId="5" numFmtId="0" xfId="0" applyAlignment="1" applyBorder="1" applyFill="1" applyFont="1">
      <alignment horizontal="center" shrinkToFit="0" vertical="center" wrapText="0"/>
    </xf>
    <xf borderId="4" fillId="5" fontId="6" numFmtId="0" xfId="0" applyAlignment="1" applyBorder="1" applyFill="1" applyFont="1">
      <alignment shrinkToFit="0" vertical="top" wrapText="1"/>
    </xf>
    <xf borderId="4" fillId="5" fontId="5" numFmtId="164" xfId="0" applyAlignment="1" applyBorder="1" applyFill="1" applyFont="1" applyNumberFormat="1">
      <alignment horizontal="center" shrinkToFit="0" vertical="center" wrapText="0"/>
    </xf>
    <xf borderId="8" fillId="0" fontId="15" numFmtId="0" xfId="0" applyAlignment="1" applyBorder="1" applyFont="1">
      <alignment shrinkToFit="0" vertical="top" wrapText="1"/>
    </xf>
    <xf borderId="9" fillId="0" fontId="2" numFmtId="0" xfId="0" applyBorder="1" applyFont="1"/>
    <xf borderId="10" fillId="0" fontId="2" numFmtId="0" xfId="0" applyBorder="1" applyFont="1"/>
    <xf borderId="6" fillId="3" fontId="5" numFmtId="0" xfId="0" applyAlignment="1" applyBorder="1" applyFill="1" applyFont="1">
      <alignment shrinkToFit="0" vertical="top" wrapText="1"/>
    </xf>
    <xf borderId="7" fillId="3" fontId="5" numFmtId="0" xfId="0" applyAlignment="1" applyBorder="1" applyFill="1" applyFont="1">
      <alignment shrinkToFit="0" vertical="top" wrapText="1"/>
    </xf>
    <xf borderId="3" fillId="3" fontId="5" numFmtId="0" xfId="0" applyAlignment="1" applyBorder="1" applyFill="1" applyFont="1">
      <alignment horizontal="center" shrinkToFit="0" vertical="center" wrapText="1"/>
    </xf>
    <xf borderId="4" fillId="4" fontId="6" numFmtId="0" xfId="0" applyAlignment="1" applyBorder="1" applyFill="1" applyFont="1">
      <alignment horizontal="center" shrinkToFit="0" vertical="top" wrapText="1"/>
    </xf>
    <xf borderId="4" fillId="0" fontId="6" numFmtId="0" xfId="0" applyAlignment="1" applyBorder="1" applyFont="1">
      <alignment horizontal="left" shrinkToFit="0" vertical="top" wrapText="1"/>
    </xf>
    <xf borderId="4" fillId="0" fontId="6" numFmtId="0" xfId="0" applyAlignment="1" applyBorder="1" applyFont="1">
      <alignment horizontal="center" shrinkToFit="0" vertical="top" wrapText="1"/>
    </xf>
    <xf borderId="4" fillId="4" fontId="6" numFmtId="0" xfId="0" applyAlignment="1" applyBorder="1" applyFill="1" applyFont="1">
      <alignment horizontal="left" shrinkToFit="0" vertical="top" wrapText="1"/>
    </xf>
  </cellXfs>
  <cellStyles count="1">
    <cellStyle xfId="0" name="Normal" builtinId="0"/>
  </cellStyles>
  <dxfs count="5">
    <dxf>
      <font>
        <sz val="10.0"/>
        <color rgb="FF232323"/>
        <name val="Barlow"/>
      </font>
      <fill>
        <patternFill patternType="solid">
          <fgColor rgb="FFD9D9D9"/>
          <bgColor rgb="FFD9D9D9"/>
        </patternFill>
      </fill>
      <border/>
    </dxf>
    <dxf>
      <font>
        <sz val="10.0"/>
        <color rgb="FF232323"/>
        <name val="Barlow"/>
      </font>
      <fill>
        <patternFill patternType="solid">
          <fgColor rgb="FFFFF2CC"/>
          <bgColor rgb="FFFFF2CC"/>
        </patternFill>
      </fill>
      <border/>
    </dxf>
    <dxf>
      <font>
        <sz val="10.0"/>
        <color rgb="FF232323"/>
        <name val="Barlow"/>
      </font>
      <fill>
        <patternFill patternType="solid">
          <fgColor rgb="FFC6E0B4"/>
          <bgColor rgb="FFC6E0B4"/>
        </patternFill>
      </fill>
      <border/>
    </dxf>
    <dxf>
      <font>
        <sz val="10.0"/>
        <color rgb="FF232323"/>
        <name val="Barlow"/>
      </font>
      <fill>
        <patternFill patternType="solid">
          <fgColor rgb="FFF8CBAD"/>
          <bgColor rgb="FFF8CBAD"/>
        </patternFill>
      </fill>
      <border/>
    </dxf>
    <dxf>
      <font>
        <b/>
        <sz val="10.0"/>
        <color rgb="FFFFFFFF"/>
        <name val="Barlow"/>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1.22" defaultRowHeight="15.0"/>
  <cols>
    <col customWidth="1" min="1" max="1" width="1.78"/>
    <col customWidth="1" min="2" max="2" width="96.22"/>
    <col customWidth="1" min="3" max="6" width="7.67"/>
    <col customWidth="1" min="7" max="11" width="12.67"/>
  </cols>
  <sheetData>
    <row r="2" ht="45.75" customHeight="1">
      <c r="B2" s="1" t="s">
        <v>0</v>
      </c>
    </row>
    <row r="3">
      <c r="B3" s="2"/>
    </row>
    <row r="5">
      <c r="B5" s="3" t="s">
        <v>1</v>
      </c>
    </row>
    <row r="6">
      <c r="B6" s="4" t="s">
        <v>2</v>
      </c>
    </row>
    <row r="8">
      <c r="B8" s="5" t="s">
        <v>3</v>
      </c>
    </row>
    <row r="9">
      <c r="B9" s="6" t="s">
        <v>4</v>
      </c>
    </row>
    <row r="10">
      <c r="B10" s="6" t="s">
        <v>5</v>
      </c>
    </row>
    <row r="11">
      <c r="B11" s="6" t="s">
        <v>6</v>
      </c>
    </row>
    <row r="12">
      <c r="B12" s="6" t="s">
        <v>7</v>
      </c>
    </row>
    <row r="13">
      <c r="B13" s="6" t="s">
        <v>8</v>
      </c>
    </row>
    <row r="14">
      <c r="B14" s="6" t="s">
        <v>9</v>
      </c>
    </row>
    <row r="17">
      <c r="B17" s="7" t="s">
        <v>10</v>
      </c>
    </row>
    <row r="19">
      <c r="B19" s="7"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sheetData>
  <mergeCells count="1">
    <mergeCell ref="B2:B3"/>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1.22" defaultRowHeight="15.0"/>
  <cols>
    <col customWidth="1" min="1" max="1" width="7.89"/>
    <col customWidth="1" min="2" max="2" width="19.22"/>
    <col customWidth="1" min="3" max="4" width="26.22"/>
    <col customWidth="1" min="5" max="5" width="24.44"/>
    <col customWidth="1" min="6" max="6" width="29.78"/>
    <col customWidth="1" min="7" max="8" width="28.0"/>
    <col customWidth="1" min="9" max="9" width="15.78"/>
    <col customWidth="1" min="10" max="10" width="24.44"/>
    <col customWidth="1" min="11" max="12" width="26.22"/>
    <col customWidth="1" min="13" max="26" width="7.67"/>
  </cols>
  <sheetData>
    <row r="1">
      <c r="A1" s="8" t="s">
        <v>12</v>
      </c>
    </row>
    <row r="3">
      <c r="A3" s="9" t="s">
        <v>13</v>
      </c>
      <c r="B3" s="9" t="s">
        <v>14</v>
      </c>
      <c r="C3" s="9" t="s">
        <v>15</v>
      </c>
      <c r="D3" s="9" t="s">
        <v>16</v>
      </c>
      <c r="E3" s="9" t="s">
        <v>17</v>
      </c>
      <c r="F3" s="9" t="s">
        <v>18</v>
      </c>
      <c r="G3" s="9" t="s">
        <v>19</v>
      </c>
      <c r="H3" s="9" t="s">
        <v>20</v>
      </c>
      <c r="I3" s="9" t="s">
        <v>21</v>
      </c>
      <c r="J3" s="9" t="s">
        <v>22</v>
      </c>
      <c r="K3" s="9" t="s">
        <v>23</v>
      </c>
      <c r="L3" s="9" t="s">
        <v>24</v>
      </c>
    </row>
    <row r="4" ht="139.5" customHeight="1">
      <c r="A4" s="10" t="s">
        <v>25</v>
      </c>
      <c r="B4" s="10" t="s">
        <v>26</v>
      </c>
      <c r="C4" s="11" t="s">
        <v>27</v>
      </c>
      <c r="D4" s="11" t="s">
        <v>28</v>
      </c>
      <c r="E4" s="11" t="s">
        <v>29</v>
      </c>
      <c r="F4" s="11" t="s">
        <v>30</v>
      </c>
      <c r="G4" s="11" t="s">
        <v>31</v>
      </c>
      <c r="H4" s="11" t="s">
        <v>32</v>
      </c>
      <c r="I4" s="11" t="s">
        <v>33</v>
      </c>
      <c r="J4" s="11" t="s">
        <v>34</v>
      </c>
      <c r="K4" s="11" t="s">
        <v>35</v>
      </c>
      <c r="L4" s="11" t="s">
        <v>36</v>
      </c>
    </row>
    <row r="5" ht="139.5" customHeight="1">
      <c r="A5" s="10" t="s">
        <v>25</v>
      </c>
      <c r="B5" s="10" t="s">
        <v>37</v>
      </c>
      <c r="C5" s="11" t="s">
        <v>38</v>
      </c>
      <c r="D5" s="11" t="s">
        <v>39</v>
      </c>
      <c r="E5" s="11" t="s">
        <v>40</v>
      </c>
      <c r="F5" s="11" t="s">
        <v>41</v>
      </c>
      <c r="G5" s="11" t="s">
        <v>42</v>
      </c>
      <c r="H5" s="11" t="s">
        <v>43</v>
      </c>
      <c r="I5" s="11" t="s">
        <v>44</v>
      </c>
      <c r="J5" s="11" t="s">
        <v>45</v>
      </c>
      <c r="K5" s="11" t="s">
        <v>46</v>
      </c>
      <c r="L5" s="11" t="s">
        <v>47</v>
      </c>
    </row>
    <row r="6" ht="139.5" customHeight="1">
      <c r="A6" s="10" t="s">
        <v>25</v>
      </c>
      <c r="B6" s="10" t="s">
        <v>48</v>
      </c>
      <c r="C6" s="11" t="s">
        <v>49</v>
      </c>
      <c r="D6" s="11" t="s">
        <v>50</v>
      </c>
      <c r="E6" s="11" t="s">
        <v>51</v>
      </c>
      <c r="F6" s="11" t="s">
        <v>52</v>
      </c>
      <c r="G6" s="11" t="s">
        <v>53</v>
      </c>
      <c r="H6" s="11" t="s">
        <v>54</v>
      </c>
      <c r="I6" s="11" t="s">
        <v>55</v>
      </c>
      <c r="J6" s="11" t="s">
        <v>56</v>
      </c>
      <c r="K6" s="11" t="s">
        <v>57</v>
      </c>
      <c r="L6" s="12" t="s">
        <v>58</v>
      </c>
    </row>
    <row r="7" ht="139.5" customHeight="1">
      <c r="A7" s="10" t="s">
        <v>25</v>
      </c>
      <c r="B7" s="10" t="s">
        <v>59</v>
      </c>
      <c r="C7" s="11" t="s">
        <v>60</v>
      </c>
      <c r="D7" s="11" t="s">
        <v>61</v>
      </c>
      <c r="E7" s="11" t="s">
        <v>62</v>
      </c>
      <c r="F7" s="11" t="s">
        <v>63</v>
      </c>
      <c r="G7" s="11" t="s">
        <v>64</v>
      </c>
      <c r="H7" s="11" t="s">
        <v>65</v>
      </c>
      <c r="I7" s="11" t="s">
        <v>66</v>
      </c>
      <c r="J7" s="11" t="s">
        <v>67</v>
      </c>
      <c r="K7" s="11" t="s">
        <v>68</v>
      </c>
      <c r="L7" s="11" t="s">
        <v>69</v>
      </c>
    </row>
    <row r="8" ht="139.5" customHeight="1">
      <c r="A8" s="13" t="s">
        <v>25</v>
      </c>
      <c r="B8" s="13" t="s">
        <v>70</v>
      </c>
      <c r="C8" s="14" t="s">
        <v>71</v>
      </c>
      <c r="D8" s="14" t="s">
        <v>72</v>
      </c>
      <c r="E8" s="14" t="s">
        <v>73</v>
      </c>
      <c r="F8" s="14" t="s">
        <v>74</v>
      </c>
      <c r="G8" s="14" t="s">
        <v>75</v>
      </c>
      <c r="H8" s="14" t="s">
        <v>76</v>
      </c>
      <c r="I8" s="14" t="s">
        <v>77</v>
      </c>
      <c r="J8" s="14" t="s">
        <v>78</v>
      </c>
      <c r="K8" s="14" t="s">
        <v>79</v>
      </c>
      <c r="L8" s="14" t="s">
        <v>80</v>
      </c>
      <c r="M8" s="15"/>
      <c r="N8" s="15"/>
      <c r="O8" s="15"/>
      <c r="P8" s="15"/>
      <c r="Q8" s="15"/>
      <c r="R8" s="15"/>
      <c r="S8" s="15"/>
      <c r="T8" s="15"/>
      <c r="U8" s="15"/>
      <c r="V8" s="15"/>
      <c r="W8" s="15"/>
      <c r="X8" s="15"/>
      <c r="Y8" s="15"/>
      <c r="Z8" s="15"/>
    </row>
    <row r="9" ht="139.5" customHeight="1">
      <c r="A9" s="10" t="s">
        <v>25</v>
      </c>
      <c r="B9" s="10" t="s">
        <v>81</v>
      </c>
      <c r="C9" s="11" t="s">
        <v>82</v>
      </c>
      <c r="D9" s="11" t="s">
        <v>83</v>
      </c>
      <c r="E9" s="11" t="s">
        <v>84</v>
      </c>
      <c r="F9" s="11" t="s">
        <v>85</v>
      </c>
      <c r="G9" s="11" t="s">
        <v>86</v>
      </c>
      <c r="H9" s="11" t="s">
        <v>87</v>
      </c>
      <c r="I9" s="11" t="s">
        <v>88</v>
      </c>
      <c r="J9" s="11" t="s">
        <v>89</v>
      </c>
      <c r="K9" s="11" t="s">
        <v>90</v>
      </c>
      <c r="L9" s="11" t="s">
        <v>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1.22" defaultRowHeight="15.0"/>
  <cols>
    <col customWidth="1" min="1" max="1" width="17.44"/>
    <col customWidth="1" min="2" max="2" width="7.89"/>
    <col customWidth="1" min="3" max="3" width="21.0"/>
    <col customWidth="1" min="4" max="4" width="26.22"/>
    <col customWidth="1" min="5" max="5" width="22.78"/>
    <col customWidth="1" min="6" max="6" width="21.0"/>
    <col customWidth="1" min="7" max="8" width="26.22"/>
    <col customWidth="1" min="9" max="11" width="21.0"/>
    <col customWidth="1" min="12" max="12" width="12.22"/>
    <col customWidth="1" min="13" max="13" width="24.44"/>
    <col customWidth="1" min="14" max="26" width="7.67"/>
  </cols>
  <sheetData>
    <row r="1">
      <c r="A1" s="8" t="s">
        <v>92</v>
      </c>
    </row>
    <row r="3">
      <c r="A3" s="9" t="s">
        <v>14</v>
      </c>
      <c r="B3" s="9" t="s">
        <v>93</v>
      </c>
      <c r="C3" s="9" t="s">
        <v>94</v>
      </c>
      <c r="D3" s="9" t="s">
        <v>95</v>
      </c>
      <c r="E3" s="9" t="s">
        <v>96</v>
      </c>
      <c r="F3" s="9" t="s">
        <v>97</v>
      </c>
      <c r="G3" s="9" t="s">
        <v>98</v>
      </c>
      <c r="H3" s="9" t="s">
        <v>99</v>
      </c>
      <c r="I3" s="9" t="s">
        <v>100</v>
      </c>
      <c r="J3" s="9" t="s">
        <v>101</v>
      </c>
      <c r="K3" s="9" t="s">
        <v>22</v>
      </c>
      <c r="L3" s="9" t="s">
        <v>102</v>
      </c>
      <c r="M3" s="9" t="s">
        <v>103</v>
      </c>
    </row>
    <row r="4" ht="129.75" customHeight="1">
      <c r="A4" s="10" t="s">
        <v>26</v>
      </c>
      <c r="B4" s="16" t="s">
        <v>104</v>
      </c>
      <c r="C4" s="11" t="s">
        <v>105</v>
      </c>
      <c r="D4" s="11" t="s">
        <v>106</v>
      </c>
      <c r="E4" s="11" t="s">
        <v>107</v>
      </c>
      <c r="F4" s="11" t="s">
        <v>108</v>
      </c>
      <c r="G4" s="11" t="s">
        <v>109</v>
      </c>
      <c r="H4" s="11" t="s">
        <v>110</v>
      </c>
      <c r="I4" s="11" t="s">
        <v>111</v>
      </c>
      <c r="J4" s="11" t="s">
        <v>112</v>
      </c>
      <c r="K4" s="11" t="s">
        <v>113</v>
      </c>
      <c r="L4" s="11" t="s">
        <v>114</v>
      </c>
      <c r="M4" s="11" t="s">
        <v>115</v>
      </c>
    </row>
    <row r="5" ht="129.75" customHeight="1">
      <c r="A5" s="10" t="s">
        <v>26</v>
      </c>
      <c r="B5" s="16" t="s">
        <v>116</v>
      </c>
      <c r="C5" s="11" t="s">
        <v>117</v>
      </c>
      <c r="D5" s="11" t="s">
        <v>118</v>
      </c>
      <c r="E5" s="11" t="s">
        <v>119</v>
      </c>
      <c r="F5" s="11" t="s">
        <v>120</v>
      </c>
      <c r="G5" s="11" t="s">
        <v>121</v>
      </c>
      <c r="H5" s="11" t="s">
        <v>122</v>
      </c>
      <c r="I5" s="11" t="s">
        <v>123</v>
      </c>
      <c r="J5" s="11" t="s">
        <v>124</v>
      </c>
      <c r="K5" s="11" t="s">
        <v>125</v>
      </c>
      <c r="L5" s="11" t="s">
        <v>126</v>
      </c>
      <c r="M5" s="11" t="s">
        <v>127</v>
      </c>
    </row>
    <row r="6" ht="129.75" customHeight="1">
      <c r="A6" s="10" t="s">
        <v>37</v>
      </c>
      <c r="B6" s="16" t="s">
        <v>104</v>
      </c>
      <c r="C6" s="11" t="s">
        <v>128</v>
      </c>
      <c r="D6" s="11" t="s">
        <v>129</v>
      </c>
      <c r="E6" s="11" t="s">
        <v>130</v>
      </c>
      <c r="F6" s="11" t="s">
        <v>131</v>
      </c>
      <c r="G6" s="11" t="s">
        <v>132</v>
      </c>
      <c r="H6" s="11" t="s">
        <v>133</v>
      </c>
      <c r="I6" s="11" t="s">
        <v>134</v>
      </c>
      <c r="J6" s="11" t="s">
        <v>135</v>
      </c>
      <c r="K6" s="11" t="s">
        <v>136</v>
      </c>
      <c r="L6" s="11" t="s">
        <v>114</v>
      </c>
      <c r="M6" s="11" t="s">
        <v>137</v>
      </c>
    </row>
    <row r="7" ht="129.75" customHeight="1">
      <c r="A7" s="10" t="s">
        <v>37</v>
      </c>
      <c r="B7" s="16" t="s">
        <v>116</v>
      </c>
      <c r="C7" s="11" t="s">
        <v>138</v>
      </c>
      <c r="D7" s="11" t="s">
        <v>139</v>
      </c>
      <c r="E7" s="11" t="s">
        <v>140</v>
      </c>
      <c r="F7" s="11" t="s">
        <v>141</v>
      </c>
      <c r="G7" s="11" t="s">
        <v>142</v>
      </c>
      <c r="H7" s="11" t="s">
        <v>143</v>
      </c>
      <c r="I7" s="11" t="s">
        <v>144</v>
      </c>
      <c r="J7" s="11" t="s">
        <v>145</v>
      </c>
      <c r="K7" s="11" t="s">
        <v>146</v>
      </c>
      <c r="L7" s="11" t="s">
        <v>147</v>
      </c>
      <c r="M7" s="11" t="s">
        <v>148</v>
      </c>
    </row>
    <row r="8" ht="129.75" customHeight="1">
      <c r="A8" s="10" t="s">
        <v>48</v>
      </c>
      <c r="B8" s="16" t="s">
        <v>104</v>
      </c>
      <c r="C8" s="11" t="s">
        <v>149</v>
      </c>
      <c r="D8" s="11" t="s">
        <v>150</v>
      </c>
      <c r="E8" s="11" t="s">
        <v>151</v>
      </c>
      <c r="F8" s="11" t="s">
        <v>152</v>
      </c>
      <c r="G8" s="11" t="s">
        <v>153</v>
      </c>
      <c r="H8" s="11" t="s">
        <v>154</v>
      </c>
      <c r="I8" s="11" t="s">
        <v>155</v>
      </c>
      <c r="J8" s="11" t="s">
        <v>156</v>
      </c>
      <c r="K8" s="11" t="s">
        <v>157</v>
      </c>
      <c r="L8" s="11" t="s">
        <v>114</v>
      </c>
      <c r="M8" s="11" t="s">
        <v>158</v>
      </c>
    </row>
    <row r="9" ht="129.75" customHeight="1">
      <c r="A9" s="10" t="s">
        <v>48</v>
      </c>
      <c r="B9" s="16" t="s">
        <v>116</v>
      </c>
      <c r="C9" s="11" t="s">
        <v>159</v>
      </c>
      <c r="D9" s="11" t="s">
        <v>160</v>
      </c>
      <c r="E9" s="11" t="s">
        <v>161</v>
      </c>
      <c r="F9" s="11" t="s">
        <v>162</v>
      </c>
      <c r="G9" s="11" t="s">
        <v>163</v>
      </c>
      <c r="H9" s="11" t="s">
        <v>164</v>
      </c>
      <c r="I9" s="11" t="s">
        <v>165</v>
      </c>
      <c r="J9" s="11" t="s">
        <v>166</v>
      </c>
      <c r="K9" s="11" t="s">
        <v>167</v>
      </c>
      <c r="L9" s="11" t="s">
        <v>147</v>
      </c>
      <c r="M9" s="11" t="s">
        <v>168</v>
      </c>
    </row>
    <row r="10" ht="129.75" customHeight="1">
      <c r="A10" s="10" t="s">
        <v>59</v>
      </c>
      <c r="B10" s="16" t="s">
        <v>104</v>
      </c>
      <c r="C10" s="11" t="s">
        <v>169</v>
      </c>
      <c r="D10" s="11" t="s">
        <v>170</v>
      </c>
      <c r="E10" s="11" t="s">
        <v>171</v>
      </c>
      <c r="F10" s="11" t="s">
        <v>172</v>
      </c>
      <c r="G10" s="11" t="s">
        <v>173</v>
      </c>
      <c r="H10" s="11" t="s">
        <v>174</v>
      </c>
      <c r="I10" s="11" t="s">
        <v>175</v>
      </c>
      <c r="J10" s="11" t="s">
        <v>176</v>
      </c>
      <c r="K10" s="11" t="s">
        <v>177</v>
      </c>
      <c r="L10" s="11" t="s">
        <v>114</v>
      </c>
      <c r="M10" s="11" t="s">
        <v>178</v>
      </c>
    </row>
    <row r="11" ht="129.75" customHeight="1">
      <c r="A11" s="10" t="s">
        <v>59</v>
      </c>
      <c r="B11" s="16" t="s">
        <v>116</v>
      </c>
      <c r="C11" s="11" t="s">
        <v>179</v>
      </c>
      <c r="D11" s="11" t="s">
        <v>180</v>
      </c>
      <c r="E11" s="11" t="s">
        <v>181</v>
      </c>
      <c r="F11" s="11" t="s">
        <v>182</v>
      </c>
      <c r="G11" s="11" t="s">
        <v>183</v>
      </c>
      <c r="H11" s="11" t="s">
        <v>184</v>
      </c>
      <c r="I11" s="11" t="s">
        <v>185</v>
      </c>
      <c r="J11" s="11" t="s">
        <v>186</v>
      </c>
      <c r="K11" s="11" t="s">
        <v>187</v>
      </c>
      <c r="L11" s="11" t="s">
        <v>147</v>
      </c>
      <c r="M11" s="11" t="s">
        <v>188</v>
      </c>
    </row>
    <row r="12" ht="129.75" customHeight="1">
      <c r="A12" s="13" t="s">
        <v>70</v>
      </c>
      <c r="B12" s="17" t="s">
        <v>104</v>
      </c>
      <c r="C12" s="14" t="s">
        <v>189</v>
      </c>
      <c r="D12" s="14" t="s">
        <v>190</v>
      </c>
      <c r="E12" s="14" t="s">
        <v>191</v>
      </c>
      <c r="F12" s="14" t="s">
        <v>192</v>
      </c>
      <c r="G12" s="14" t="s">
        <v>193</v>
      </c>
      <c r="H12" s="14" t="s">
        <v>194</v>
      </c>
      <c r="I12" s="14" t="s">
        <v>195</v>
      </c>
      <c r="J12" s="14" t="s">
        <v>196</v>
      </c>
      <c r="K12" s="14" t="s">
        <v>197</v>
      </c>
      <c r="L12" s="14" t="s">
        <v>198</v>
      </c>
      <c r="M12" s="14" t="s">
        <v>199</v>
      </c>
      <c r="N12" s="15"/>
      <c r="O12" s="15"/>
      <c r="P12" s="15"/>
      <c r="Q12" s="15"/>
      <c r="R12" s="15"/>
      <c r="S12" s="15"/>
      <c r="T12" s="15"/>
      <c r="U12" s="15"/>
      <c r="V12" s="15"/>
      <c r="W12" s="15"/>
      <c r="X12" s="15"/>
      <c r="Y12" s="15"/>
      <c r="Z12" s="15"/>
    </row>
    <row r="13" ht="129.75" customHeight="1">
      <c r="A13" s="13" t="s">
        <v>70</v>
      </c>
      <c r="B13" s="17" t="s">
        <v>116</v>
      </c>
      <c r="C13" s="14" t="s">
        <v>200</v>
      </c>
      <c r="D13" s="14" t="s">
        <v>201</v>
      </c>
      <c r="E13" s="14" t="s">
        <v>202</v>
      </c>
      <c r="F13" s="14" t="s">
        <v>203</v>
      </c>
      <c r="G13" s="14" t="s">
        <v>204</v>
      </c>
      <c r="H13" s="14" t="s">
        <v>205</v>
      </c>
      <c r="I13" s="14" t="s">
        <v>206</v>
      </c>
      <c r="J13" s="14" t="s">
        <v>207</v>
      </c>
      <c r="K13" s="14" t="s">
        <v>208</v>
      </c>
      <c r="L13" s="14" t="s">
        <v>209</v>
      </c>
      <c r="M13" s="14" t="s">
        <v>210</v>
      </c>
      <c r="N13" s="15"/>
      <c r="O13" s="15"/>
      <c r="P13" s="15"/>
      <c r="Q13" s="15"/>
      <c r="R13" s="15"/>
      <c r="S13" s="15"/>
      <c r="T13" s="15"/>
      <c r="U13" s="15"/>
      <c r="V13" s="15"/>
      <c r="W13" s="15"/>
      <c r="X13" s="15"/>
      <c r="Y13" s="15"/>
      <c r="Z13"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1.22" defaultRowHeight="15.0"/>
  <cols>
    <col customWidth="1" min="1" max="1" width="22.78"/>
    <col customWidth="1" min="2" max="2" width="26.22"/>
    <col customWidth="1" min="3" max="3" width="7.89"/>
    <col customWidth="1" min="4" max="4" width="40.22"/>
    <col customWidth="1" min="5" max="5" width="14.0"/>
    <col customWidth="1" min="6" max="6" width="10.44"/>
    <col customWidth="1" min="7" max="7" width="12.22"/>
    <col customWidth="1" min="8" max="8" width="7.67"/>
    <col customWidth="1" min="9" max="9" width="2.67"/>
    <col customWidth="1" min="10" max="10" width="12.22"/>
    <col customWidth="1" min="11" max="11" width="9.67"/>
    <col customWidth="1" min="12" max="12" width="48.11"/>
  </cols>
  <sheetData>
    <row r="1">
      <c r="A1" s="8" t="s">
        <v>211</v>
      </c>
    </row>
    <row r="2" ht="25.5" customHeight="1">
      <c r="A2" s="18" t="s">
        <v>212</v>
      </c>
    </row>
    <row r="3">
      <c r="A3" s="19" t="s">
        <v>213</v>
      </c>
      <c r="B3" s="19" t="s">
        <v>214</v>
      </c>
      <c r="C3" s="19" t="s">
        <v>215</v>
      </c>
      <c r="D3" s="19" t="s">
        <v>216</v>
      </c>
      <c r="E3" s="19" t="s">
        <v>217</v>
      </c>
      <c r="F3" s="19" t="s">
        <v>218</v>
      </c>
      <c r="G3" s="19" t="s">
        <v>219</v>
      </c>
      <c r="J3" s="19" t="s">
        <v>220</v>
      </c>
      <c r="K3" s="19" t="s">
        <v>221</v>
      </c>
    </row>
    <row r="4" ht="45.0" customHeight="1">
      <c r="A4" s="20" t="s">
        <v>222</v>
      </c>
      <c r="B4" s="21" t="s">
        <v>223</v>
      </c>
      <c r="C4" s="22">
        <v>40.0</v>
      </c>
      <c r="D4" s="23" t="s">
        <v>224</v>
      </c>
      <c r="E4" s="24"/>
      <c r="F4" s="25" t="str">
        <f t="shared" ref="F4:F6" si="1">IFERROR(INDEX($K$4:$K$8,MATCH(E4,$J$4:$J$8,0)),"")</f>
        <v/>
      </c>
      <c r="G4" s="26" t="str">
        <f t="shared" ref="G4:G6" si="2">IF(F4="","",C4*F4)</f>
        <v/>
      </c>
      <c r="J4" s="27" t="s">
        <v>225</v>
      </c>
      <c r="K4" s="28">
        <v>1.0</v>
      </c>
      <c r="L4" s="29" t="s">
        <v>226</v>
      </c>
    </row>
    <row r="5" ht="45.0" customHeight="1">
      <c r="A5" s="30"/>
      <c r="B5" s="21" t="s">
        <v>227</v>
      </c>
      <c r="C5" s="22">
        <v>35.0</v>
      </c>
      <c r="D5" s="23" t="s">
        <v>228</v>
      </c>
      <c r="E5" s="24"/>
      <c r="F5" s="25" t="str">
        <f t="shared" si="1"/>
        <v/>
      </c>
      <c r="G5" s="26" t="str">
        <f t="shared" si="2"/>
        <v/>
      </c>
      <c r="J5" s="27" t="s">
        <v>229</v>
      </c>
      <c r="K5" s="28">
        <v>0.75</v>
      </c>
      <c r="L5" s="29" t="s">
        <v>230</v>
      </c>
    </row>
    <row r="6" ht="45.0" customHeight="1">
      <c r="A6" s="30"/>
      <c r="B6" s="21" t="s">
        <v>231</v>
      </c>
      <c r="C6" s="22">
        <v>25.0</v>
      </c>
      <c r="D6" s="23" t="s">
        <v>232</v>
      </c>
      <c r="E6" s="24"/>
      <c r="F6" s="25" t="str">
        <f t="shared" si="1"/>
        <v/>
      </c>
      <c r="G6" s="26" t="str">
        <f t="shared" si="2"/>
        <v/>
      </c>
      <c r="J6" s="27" t="s">
        <v>233</v>
      </c>
      <c r="K6" s="28">
        <v>0.5</v>
      </c>
      <c r="L6" s="29" t="s">
        <v>234</v>
      </c>
    </row>
    <row r="7">
      <c r="A7" s="31"/>
      <c r="B7" s="32" t="s">
        <v>235</v>
      </c>
      <c r="C7" s="33">
        <v>100.0</v>
      </c>
      <c r="D7" s="34"/>
      <c r="E7" s="34"/>
      <c r="F7" s="34"/>
      <c r="G7" s="35" t="str">
        <f>SUM(G4:G6)</f>
        <v>0.0</v>
      </c>
      <c r="J7" s="27" t="s">
        <v>236</v>
      </c>
      <c r="K7" s="28">
        <v>0.25</v>
      </c>
      <c r="L7" s="29" t="s">
        <v>237</v>
      </c>
    </row>
    <row r="8" ht="45.0" customHeight="1">
      <c r="A8" s="20" t="s">
        <v>238</v>
      </c>
      <c r="B8" s="21" t="s">
        <v>239</v>
      </c>
      <c r="C8" s="22">
        <v>40.0</v>
      </c>
      <c r="D8" s="23" t="s">
        <v>240</v>
      </c>
      <c r="E8" s="24"/>
      <c r="F8" s="25" t="str">
        <f t="shared" ref="F8:F10" si="3">IFERROR(INDEX($K$4:$K$8,MATCH(E8,$J$4:$J$8,0)),"")</f>
        <v/>
      </c>
      <c r="G8" s="26" t="str">
        <f t="shared" ref="G8:G10" si="4">IF(F8="","",C8*F8)</f>
        <v/>
      </c>
      <c r="J8" s="27" t="s">
        <v>241</v>
      </c>
      <c r="K8" s="28">
        <v>0.0</v>
      </c>
      <c r="L8" s="29" t="s">
        <v>242</v>
      </c>
    </row>
    <row r="9" ht="45.0" customHeight="1">
      <c r="A9" s="30"/>
      <c r="B9" s="21" t="s">
        <v>243</v>
      </c>
      <c r="C9" s="22">
        <v>35.0</v>
      </c>
      <c r="D9" s="23" t="s">
        <v>244</v>
      </c>
      <c r="E9" s="24"/>
      <c r="F9" s="25" t="str">
        <f t="shared" si="3"/>
        <v/>
      </c>
      <c r="G9" s="26" t="str">
        <f t="shared" si="4"/>
        <v/>
      </c>
      <c r="J9" s="36" t="s">
        <v>245</v>
      </c>
      <c r="K9" s="37"/>
      <c r="L9" s="38"/>
    </row>
    <row r="10" ht="30.0" customHeight="1">
      <c r="A10" s="30"/>
      <c r="B10" s="21" t="s">
        <v>246</v>
      </c>
      <c r="C10" s="22">
        <v>25.0</v>
      </c>
      <c r="D10" s="23" t="s">
        <v>247</v>
      </c>
      <c r="E10" s="24"/>
      <c r="F10" s="25" t="str">
        <f t="shared" si="3"/>
        <v/>
      </c>
      <c r="G10" s="26" t="str">
        <f t="shared" si="4"/>
        <v/>
      </c>
    </row>
    <row r="11">
      <c r="A11" s="31"/>
      <c r="B11" s="32" t="s">
        <v>235</v>
      </c>
      <c r="C11" s="33">
        <v>100.0</v>
      </c>
      <c r="D11" s="34"/>
      <c r="E11" s="34"/>
      <c r="F11" s="34"/>
      <c r="G11" s="35" t="str">
        <f>SUM(G8:G10)</f>
        <v>0.0</v>
      </c>
    </row>
    <row r="12" ht="45.0" customHeight="1">
      <c r="A12" s="20" t="s">
        <v>248</v>
      </c>
      <c r="B12" s="21" t="s">
        <v>249</v>
      </c>
      <c r="C12" s="22">
        <v>40.0</v>
      </c>
      <c r="D12" s="23" t="s">
        <v>250</v>
      </c>
      <c r="E12" s="24"/>
      <c r="F12" s="25" t="str">
        <f t="shared" ref="F12:F14" si="5">IFERROR(INDEX($K$4:$K$8,MATCH(E12,$J$4:$J$8,0)),"")</f>
        <v/>
      </c>
      <c r="G12" s="26" t="str">
        <f t="shared" ref="G12:G14" si="6">IF(F12="","",C12*F12)</f>
        <v/>
      </c>
    </row>
    <row r="13" ht="45.0" customHeight="1">
      <c r="A13" s="30"/>
      <c r="B13" s="21" t="s">
        <v>251</v>
      </c>
      <c r="C13" s="22">
        <v>35.0</v>
      </c>
      <c r="D13" s="23" t="s">
        <v>252</v>
      </c>
      <c r="E13" s="24"/>
      <c r="F13" s="25" t="str">
        <f t="shared" si="5"/>
        <v/>
      </c>
      <c r="G13" s="26" t="str">
        <f t="shared" si="6"/>
        <v/>
      </c>
    </row>
    <row r="14" ht="30.0" customHeight="1">
      <c r="A14" s="30"/>
      <c r="B14" s="21" t="s">
        <v>253</v>
      </c>
      <c r="C14" s="22">
        <v>25.0</v>
      </c>
      <c r="D14" s="23" t="s">
        <v>254</v>
      </c>
      <c r="E14" s="24"/>
      <c r="F14" s="25" t="str">
        <f t="shared" si="5"/>
        <v/>
      </c>
      <c r="G14" s="26" t="str">
        <f t="shared" si="6"/>
        <v/>
      </c>
    </row>
    <row r="15">
      <c r="A15" s="31"/>
      <c r="B15" s="32" t="s">
        <v>235</v>
      </c>
      <c r="C15" s="33">
        <v>100.0</v>
      </c>
      <c r="D15" s="34"/>
      <c r="E15" s="34"/>
      <c r="F15" s="34"/>
      <c r="G15" s="35" t="str">
        <f>SUM(G12:G14)</f>
        <v>0.0</v>
      </c>
    </row>
    <row r="16" ht="45.0" customHeight="1">
      <c r="A16" s="20" t="s">
        <v>255</v>
      </c>
      <c r="B16" s="21" t="s">
        <v>256</v>
      </c>
      <c r="C16" s="22">
        <v>45.0</v>
      </c>
      <c r="D16" s="23" t="s">
        <v>257</v>
      </c>
      <c r="E16" s="24"/>
      <c r="F16" s="25" t="str">
        <f t="shared" ref="F16:F18" si="7">IFERROR(INDEX($K$4:$K$8,MATCH(E16,$J$4:$J$8,0)),"")</f>
        <v/>
      </c>
      <c r="G16" s="26" t="str">
        <f t="shared" ref="G16:G18" si="8">IF(F16="","",C16*F16)</f>
        <v/>
      </c>
    </row>
    <row r="17" ht="45.0" customHeight="1">
      <c r="A17" s="30"/>
      <c r="B17" s="21" t="s">
        <v>258</v>
      </c>
      <c r="C17" s="22">
        <v>30.0</v>
      </c>
      <c r="D17" s="23" t="s">
        <v>259</v>
      </c>
      <c r="E17" s="24"/>
      <c r="F17" s="25" t="str">
        <f t="shared" si="7"/>
        <v/>
      </c>
      <c r="G17" s="26" t="str">
        <f t="shared" si="8"/>
        <v/>
      </c>
    </row>
    <row r="18" ht="30.0" customHeight="1">
      <c r="A18" s="30"/>
      <c r="B18" s="21" t="s">
        <v>260</v>
      </c>
      <c r="C18" s="22">
        <v>25.0</v>
      </c>
      <c r="D18" s="23" t="s">
        <v>261</v>
      </c>
      <c r="E18" s="24"/>
      <c r="F18" s="25" t="str">
        <f t="shared" si="7"/>
        <v/>
      </c>
      <c r="G18" s="26" t="str">
        <f t="shared" si="8"/>
        <v/>
      </c>
    </row>
    <row r="19">
      <c r="A19" s="31"/>
      <c r="B19" s="32" t="s">
        <v>235</v>
      </c>
      <c r="C19" s="33">
        <v>100.0</v>
      </c>
      <c r="D19" s="34"/>
      <c r="E19" s="34"/>
      <c r="F19" s="34"/>
      <c r="G19" s="35" t="str">
        <f>SUM(G16:G18)</f>
        <v>0.0</v>
      </c>
    </row>
    <row r="20" ht="30.0" customHeight="1">
      <c r="A20" s="20" t="s">
        <v>262</v>
      </c>
      <c r="B20" s="21" t="s">
        <v>263</v>
      </c>
      <c r="C20" s="22">
        <v>40.0</v>
      </c>
      <c r="D20" s="23" t="s">
        <v>264</v>
      </c>
      <c r="E20" s="24"/>
      <c r="F20" s="25" t="str">
        <f t="shared" ref="F20:F22" si="9">IFERROR(INDEX($K$4:$K$8,MATCH(E20,$J$4:$J$8,0)),"")</f>
        <v/>
      </c>
      <c r="G20" s="26" t="str">
        <f t="shared" ref="G20:G22" si="10">IF(F20="","",C20*F20)</f>
        <v/>
      </c>
    </row>
    <row r="21" ht="30.0" customHeight="1">
      <c r="A21" s="30"/>
      <c r="B21" s="21" t="s">
        <v>265</v>
      </c>
      <c r="C21" s="22">
        <v>35.0</v>
      </c>
      <c r="D21" s="23" t="s">
        <v>266</v>
      </c>
      <c r="E21" s="24"/>
      <c r="F21" s="25" t="str">
        <f t="shared" si="9"/>
        <v/>
      </c>
      <c r="G21" s="26" t="str">
        <f t="shared" si="10"/>
        <v/>
      </c>
    </row>
    <row r="22" ht="30.0" customHeight="1">
      <c r="A22" s="30"/>
      <c r="B22" s="21" t="s">
        <v>267</v>
      </c>
      <c r="C22" s="22">
        <v>25.0</v>
      </c>
      <c r="D22" s="23" t="s">
        <v>268</v>
      </c>
      <c r="E22" s="24"/>
      <c r="F22" s="25" t="str">
        <f t="shared" si="9"/>
        <v/>
      </c>
      <c r="G22" s="26" t="str">
        <f t="shared" si="10"/>
        <v/>
      </c>
    </row>
    <row r="23" ht="15.75" customHeight="1">
      <c r="A23" s="31"/>
      <c r="B23" s="32" t="s">
        <v>235</v>
      </c>
      <c r="C23" s="33">
        <v>100.0</v>
      </c>
      <c r="D23" s="34"/>
      <c r="E23" s="34"/>
      <c r="F23" s="34"/>
      <c r="G23" s="35" t="str">
        <f>SUM(G20:G22)</f>
        <v>0.0</v>
      </c>
    </row>
    <row r="24" ht="30.0" customHeight="1">
      <c r="A24" s="20" t="s">
        <v>269</v>
      </c>
      <c r="B24" s="21" t="s">
        <v>270</v>
      </c>
      <c r="C24" s="22">
        <v>40.0</v>
      </c>
      <c r="D24" s="23" t="s">
        <v>271</v>
      </c>
      <c r="E24" s="24"/>
      <c r="F24" s="25" t="str">
        <f t="shared" ref="F24:F26" si="11">IFERROR(INDEX($K$4:$K$8,MATCH(E24,$J$4:$J$8,0)),"")</f>
        <v/>
      </c>
      <c r="G24" s="26" t="str">
        <f t="shared" ref="G24:G26" si="12">IF(F24="","",C24*F24)</f>
        <v/>
      </c>
    </row>
    <row r="25" ht="30.0" customHeight="1">
      <c r="A25" s="30"/>
      <c r="B25" s="21" t="s">
        <v>272</v>
      </c>
      <c r="C25" s="22">
        <v>35.0</v>
      </c>
      <c r="D25" s="23" t="s">
        <v>273</v>
      </c>
      <c r="E25" s="24"/>
      <c r="F25" s="25" t="str">
        <f t="shared" si="11"/>
        <v/>
      </c>
      <c r="G25" s="26" t="str">
        <f t="shared" si="12"/>
        <v/>
      </c>
    </row>
    <row r="26" ht="30.0" customHeight="1">
      <c r="A26" s="30"/>
      <c r="B26" s="21" t="s">
        <v>274</v>
      </c>
      <c r="C26" s="22">
        <v>25.0</v>
      </c>
      <c r="D26" s="23" t="s">
        <v>275</v>
      </c>
      <c r="E26" s="24"/>
      <c r="F26" s="25" t="str">
        <f t="shared" si="11"/>
        <v/>
      </c>
      <c r="G26" s="26" t="str">
        <f t="shared" si="12"/>
        <v/>
      </c>
    </row>
    <row r="27" ht="15.75" customHeight="1">
      <c r="A27" s="31"/>
      <c r="B27" s="32" t="s">
        <v>235</v>
      </c>
      <c r="C27" s="33">
        <v>100.0</v>
      </c>
      <c r="D27" s="34"/>
      <c r="E27" s="34"/>
      <c r="F27" s="34"/>
      <c r="G27" s="35" t="str">
        <f>SUM(G24:G26)</f>
        <v>0.0</v>
      </c>
    </row>
    <row r="28" ht="30.0" customHeight="1">
      <c r="A28" s="20" t="s">
        <v>276</v>
      </c>
      <c r="B28" s="21" t="s">
        <v>277</v>
      </c>
      <c r="C28" s="22">
        <v>35.0</v>
      </c>
      <c r="D28" s="23" t="s">
        <v>278</v>
      </c>
      <c r="E28" s="24"/>
      <c r="F28" s="25" t="str">
        <f t="shared" ref="F28:F30" si="13">IFERROR(INDEX($K$4:$K$8,MATCH(E28,$J$4:$J$8,0)),"")</f>
        <v/>
      </c>
      <c r="G28" s="26" t="str">
        <f t="shared" ref="G28:G30" si="14">IF(F28="","",C28*F28)</f>
        <v/>
      </c>
    </row>
    <row r="29" ht="30.0" customHeight="1">
      <c r="A29" s="30"/>
      <c r="B29" s="21" t="s">
        <v>279</v>
      </c>
      <c r="C29" s="22">
        <v>40.0</v>
      </c>
      <c r="D29" s="23" t="s">
        <v>280</v>
      </c>
      <c r="E29" s="24"/>
      <c r="F29" s="25" t="str">
        <f t="shared" si="13"/>
        <v/>
      </c>
      <c r="G29" s="26" t="str">
        <f t="shared" si="14"/>
        <v/>
      </c>
    </row>
    <row r="30" ht="45.0" customHeight="1">
      <c r="A30" s="30"/>
      <c r="B30" s="21" t="s">
        <v>281</v>
      </c>
      <c r="C30" s="22">
        <v>25.0</v>
      </c>
      <c r="D30" s="23" t="s">
        <v>282</v>
      </c>
      <c r="E30" s="24"/>
      <c r="F30" s="25" t="str">
        <f t="shared" si="13"/>
        <v/>
      </c>
      <c r="G30" s="26" t="str">
        <f t="shared" si="14"/>
        <v/>
      </c>
    </row>
    <row r="31" ht="15.75" customHeight="1">
      <c r="A31" s="31"/>
      <c r="B31" s="32" t="s">
        <v>235</v>
      </c>
      <c r="C31" s="33">
        <v>100.0</v>
      </c>
      <c r="D31" s="34"/>
      <c r="E31" s="34"/>
      <c r="F31" s="34"/>
      <c r="G31" s="35" t="str">
        <f>SUM(G28:G30)</f>
        <v>0.0</v>
      </c>
    </row>
    <row r="32" ht="45.0" customHeight="1">
      <c r="A32" s="20" t="s">
        <v>283</v>
      </c>
      <c r="B32" s="21" t="s">
        <v>284</v>
      </c>
      <c r="C32" s="22">
        <v>40.0</v>
      </c>
      <c r="D32" s="23" t="s">
        <v>285</v>
      </c>
      <c r="E32" s="24"/>
      <c r="F32" s="25" t="str">
        <f t="shared" ref="F32:F34" si="15">IFERROR(INDEX($K$4:$K$8,MATCH(E32,$J$4:$J$8,0)),"")</f>
        <v/>
      </c>
      <c r="G32" s="26" t="str">
        <f t="shared" ref="G32:G34" si="16">IF(F32="","",C32*F32)</f>
        <v/>
      </c>
    </row>
    <row r="33" ht="30.0" customHeight="1">
      <c r="A33" s="30"/>
      <c r="B33" s="21" t="s">
        <v>286</v>
      </c>
      <c r="C33" s="22">
        <v>35.0</v>
      </c>
      <c r="D33" s="23" t="s">
        <v>287</v>
      </c>
      <c r="E33" s="24"/>
      <c r="F33" s="25" t="str">
        <f t="shared" si="15"/>
        <v/>
      </c>
      <c r="G33" s="26" t="str">
        <f t="shared" si="16"/>
        <v/>
      </c>
    </row>
    <row r="34" ht="30.0" customHeight="1">
      <c r="A34" s="30"/>
      <c r="B34" s="21" t="s">
        <v>288</v>
      </c>
      <c r="C34" s="22">
        <v>25.0</v>
      </c>
      <c r="D34" s="23" t="s">
        <v>289</v>
      </c>
      <c r="E34" s="24"/>
      <c r="F34" s="25" t="str">
        <f t="shared" si="15"/>
        <v/>
      </c>
      <c r="G34" s="26" t="str">
        <f t="shared" si="16"/>
        <v/>
      </c>
    </row>
    <row r="35" ht="15.75" customHeight="1">
      <c r="A35" s="31"/>
      <c r="B35" s="32" t="s">
        <v>235</v>
      </c>
      <c r="C35" s="33">
        <v>100.0</v>
      </c>
      <c r="D35" s="34"/>
      <c r="E35" s="34"/>
      <c r="F35" s="34"/>
      <c r="G35" s="35" t="str">
        <f>SUM(G32:G34)</f>
        <v>0.0</v>
      </c>
    </row>
    <row r="36" ht="48.0" customHeight="1">
      <c r="A36" s="20" t="s">
        <v>290</v>
      </c>
      <c r="B36" s="21" t="s">
        <v>291</v>
      </c>
      <c r="C36" s="22">
        <v>35.0</v>
      </c>
      <c r="D36" s="23" t="s">
        <v>292</v>
      </c>
      <c r="E36" s="24"/>
      <c r="F36" s="25" t="str">
        <f t="shared" ref="F36:F38" si="17">IFERROR(INDEX($K$4:$K$8,MATCH(E36,$J$4:$J$8,0)),"")</f>
        <v/>
      </c>
      <c r="G36" s="26" t="str">
        <f t="shared" ref="G36:G38" si="18">IF(F36="","",C36*F36)</f>
        <v/>
      </c>
    </row>
    <row r="37" ht="30.0" customHeight="1">
      <c r="A37" s="39"/>
      <c r="B37" s="21" t="s">
        <v>293</v>
      </c>
      <c r="C37" s="22">
        <v>40.0</v>
      </c>
      <c r="D37" s="23" t="s">
        <v>294</v>
      </c>
      <c r="E37" s="24"/>
      <c r="F37" s="25" t="str">
        <f t="shared" si="17"/>
        <v/>
      </c>
      <c r="G37" s="26" t="str">
        <f t="shared" si="18"/>
        <v/>
      </c>
    </row>
    <row r="38" ht="30.0" customHeight="1">
      <c r="A38" s="39"/>
      <c r="B38" s="21" t="s">
        <v>295</v>
      </c>
      <c r="C38" s="22">
        <v>25.0</v>
      </c>
      <c r="D38" s="23" t="s">
        <v>296</v>
      </c>
      <c r="E38" s="24"/>
      <c r="F38" s="25" t="str">
        <f t="shared" si="17"/>
        <v/>
      </c>
      <c r="G38" s="26" t="str">
        <f t="shared" si="18"/>
        <v/>
      </c>
    </row>
    <row r="39" ht="15.75" customHeight="1">
      <c r="A39" s="40"/>
      <c r="B39" s="32" t="s">
        <v>235</v>
      </c>
      <c r="C39" s="33">
        <v>100.0</v>
      </c>
      <c r="D39" s="34"/>
      <c r="E39" s="34"/>
      <c r="F39" s="34"/>
      <c r="G39" s="35" t="str">
        <f>SUM(G36:G38)</f>
        <v>0.0</v>
      </c>
    </row>
    <row r="40" ht="36.0" customHeight="1">
      <c r="A40" s="20" t="s">
        <v>297</v>
      </c>
      <c r="B40" s="21" t="s">
        <v>298</v>
      </c>
      <c r="C40" s="22">
        <v>40.0</v>
      </c>
      <c r="D40" s="23" t="s">
        <v>299</v>
      </c>
      <c r="E40" s="24"/>
      <c r="F40" s="25" t="str">
        <f t="shared" ref="F40:F42" si="19">IFERROR(INDEX($K$4:$K$8,MATCH(E40,$J$4:$J$8,0)),"")</f>
        <v/>
      </c>
      <c r="G40" s="26" t="str">
        <f t="shared" ref="G40:G42" si="20">IF(F40="","",C40*F40)</f>
        <v/>
      </c>
    </row>
    <row r="41" ht="30.0" customHeight="1">
      <c r="A41" s="39"/>
      <c r="B41" s="21" t="s">
        <v>300</v>
      </c>
      <c r="C41" s="22">
        <v>30.0</v>
      </c>
      <c r="D41" s="23" t="s">
        <v>301</v>
      </c>
      <c r="E41" s="24"/>
      <c r="F41" s="25" t="str">
        <f t="shared" si="19"/>
        <v/>
      </c>
      <c r="G41" s="26" t="str">
        <f t="shared" si="20"/>
        <v/>
      </c>
    </row>
    <row r="42" ht="30.0" customHeight="1">
      <c r="A42" s="39"/>
      <c r="B42" s="21" t="s">
        <v>302</v>
      </c>
      <c r="C42" s="22">
        <v>30.0</v>
      </c>
      <c r="D42" s="23" t="s">
        <v>303</v>
      </c>
      <c r="E42" s="24"/>
      <c r="F42" s="25" t="str">
        <f t="shared" si="19"/>
        <v/>
      </c>
      <c r="G42" s="26" t="str">
        <f t="shared" si="20"/>
        <v/>
      </c>
    </row>
    <row r="43" ht="15.75" customHeight="1">
      <c r="A43" s="40"/>
      <c r="B43" s="32" t="s">
        <v>235</v>
      </c>
      <c r="C43" s="33">
        <v>100.0</v>
      </c>
      <c r="D43" s="34"/>
      <c r="E43" s="34"/>
      <c r="F43" s="34"/>
      <c r="G43" s="35" t="str">
        <f>SUM(G40:G42)</f>
        <v>0.0</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sheetData>
  <mergeCells count="11">
    <mergeCell ref="A8:A11"/>
    <mergeCell ref="J9:L9"/>
    <mergeCell ref="A12:A15"/>
    <mergeCell ref="A16:A19"/>
    <mergeCell ref="A20:A23"/>
    <mergeCell ref="A24:A27"/>
    <mergeCell ref="A28:A31"/>
    <mergeCell ref="A32:A35"/>
    <mergeCell ref="A1:G1"/>
    <mergeCell ref="A2:G2"/>
    <mergeCell ref="A4:A7"/>
  </mergeCells>
  <dataValidations>
    <dataValidation type="list" allowBlank="1" sqref="E4:E6 E8:E10 E12:E14 E16:E18 E20:E22 E24:E26 E28:E30 E32:E34 E36:E38 E40:E42">
      <formula1>$J$4:$J$8</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1.22" defaultRowHeight="15.0"/>
  <cols>
    <col customWidth="1" min="1" max="1" width="11.67"/>
    <col customWidth="1" min="2" max="2" width="24.44"/>
    <col customWidth="1" min="3" max="3" width="26.22"/>
    <col customWidth="1" min="4" max="4" width="15.78"/>
    <col customWidth="1" min="5" max="5" width="24.44"/>
    <col customWidth="1" min="6" max="6" width="26.22"/>
    <col customWidth="1" min="7" max="7" width="22.78"/>
    <col customWidth="1" min="8" max="8" width="26.22"/>
    <col customWidth="1" min="9" max="11" width="12.67"/>
  </cols>
  <sheetData>
    <row r="1">
      <c r="A1" s="8" t="s">
        <v>304</v>
      </c>
    </row>
    <row r="3">
      <c r="A3" s="9" t="s">
        <v>305</v>
      </c>
      <c r="B3" s="9" t="s">
        <v>306</v>
      </c>
      <c r="C3" s="9" t="s">
        <v>307</v>
      </c>
      <c r="D3" s="9" t="s">
        <v>308</v>
      </c>
      <c r="E3" s="9" t="s">
        <v>309</v>
      </c>
      <c r="F3" s="9" t="s">
        <v>310</v>
      </c>
      <c r="G3" s="9" t="s">
        <v>311</v>
      </c>
      <c r="H3" s="9" t="s">
        <v>312</v>
      </c>
    </row>
    <row r="4" ht="96.0" customHeight="1">
      <c r="A4" s="41">
        <v>1.0</v>
      </c>
      <c r="B4" s="11" t="s">
        <v>313</v>
      </c>
      <c r="C4" s="11" t="s">
        <v>314</v>
      </c>
      <c r="D4" s="11" t="s">
        <v>315</v>
      </c>
      <c r="E4" s="11" t="s">
        <v>316</v>
      </c>
      <c r="F4" s="11" t="s">
        <v>317</v>
      </c>
      <c r="G4" s="11" t="s">
        <v>318</v>
      </c>
      <c r="H4" s="11" t="s">
        <v>319</v>
      </c>
    </row>
    <row r="5" ht="96.0" customHeight="1">
      <c r="A5" s="41" t="s">
        <v>320</v>
      </c>
      <c r="B5" s="11" t="s">
        <v>321</v>
      </c>
      <c r="C5" s="11" t="s">
        <v>322</v>
      </c>
      <c r="D5" s="11" t="s">
        <v>323</v>
      </c>
      <c r="E5" s="11" t="s">
        <v>324</v>
      </c>
      <c r="F5" s="11" t="s">
        <v>325</v>
      </c>
      <c r="G5" s="11" t="s">
        <v>326</v>
      </c>
      <c r="H5" s="11" t="s">
        <v>327</v>
      </c>
    </row>
    <row r="6" ht="96.0" customHeight="1">
      <c r="A6" s="41" t="s">
        <v>328</v>
      </c>
      <c r="B6" s="11" t="s">
        <v>329</v>
      </c>
      <c r="C6" s="11" t="s">
        <v>330</v>
      </c>
      <c r="D6" s="11" t="s">
        <v>331</v>
      </c>
      <c r="E6" s="11" t="s">
        <v>332</v>
      </c>
      <c r="F6" s="11" t="s">
        <v>333</v>
      </c>
      <c r="G6" s="11" t="s">
        <v>334</v>
      </c>
      <c r="H6" s="11" t="s">
        <v>335</v>
      </c>
    </row>
    <row r="7" ht="96.0" customHeight="1">
      <c r="A7" s="41" t="s">
        <v>336</v>
      </c>
      <c r="B7" s="11" t="s">
        <v>337</v>
      </c>
      <c r="C7" s="11" t="s">
        <v>338</v>
      </c>
      <c r="D7" s="11" t="s">
        <v>315</v>
      </c>
      <c r="E7" s="11" t="s">
        <v>339</v>
      </c>
      <c r="F7" s="11" t="s">
        <v>340</v>
      </c>
      <c r="G7" s="11" t="s">
        <v>341</v>
      </c>
      <c r="H7" s="11" t="s">
        <v>342</v>
      </c>
    </row>
    <row r="8" ht="96.0" customHeight="1">
      <c r="A8" s="41" t="s">
        <v>343</v>
      </c>
      <c r="B8" s="11" t="s">
        <v>344</v>
      </c>
      <c r="C8" s="11" t="s">
        <v>345</v>
      </c>
      <c r="D8" s="11" t="s">
        <v>315</v>
      </c>
      <c r="E8" s="11" t="s">
        <v>346</v>
      </c>
      <c r="F8" s="11" t="s">
        <v>347</v>
      </c>
      <c r="G8" s="11" t="s">
        <v>348</v>
      </c>
      <c r="H8" s="11" t="s">
        <v>349</v>
      </c>
    </row>
    <row r="9" ht="96.0" customHeight="1">
      <c r="A9" s="41" t="s">
        <v>350</v>
      </c>
      <c r="B9" s="11" t="s">
        <v>351</v>
      </c>
      <c r="C9" s="11" t="s">
        <v>352</v>
      </c>
      <c r="D9" s="11" t="s">
        <v>353</v>
      </c>
      <c r="E9" s="11" t="s">
        <v>354</v>
      </c>
      <c r="F9" s="11" t="s">
        <v>355</v>
      </c>
      <c r="G9" s="11" t="s">
        <v>356</v>
      </c>
      <c r="H9" s="11" t="s">
        <v>357</v>
      </c>
    </row>
    <row r="10" ht="96.0" customHeight="1">
      <c r="A10" s="41" t="s">
        <v>358</v>
      </c>
      <c r="B10" s="11" t="s">
        <v>359</v>
      </c>
      <c r="C10" s="11" t="s">
        <v>360</v>
      </c>
      <c r="D10" s="11" t="s">
        <v>361</v>
      </c>
      <c r="E10" s="11" t="s">
        <v>362</v>
      </c>
      <c r="F10" s="11" t="s">
        <v>363</v>
      </c>
      <c r="G10" s="11" t="s">
        <v>364</v>
      </c>
      <c r="H10" s="11" t="s">
        <v>365</v>
      </c>
    </row>
    <row r="11" ht="96.0" customHeight="1">
      <c r="A11" s="41" t="s">
        <v>366</v>
      </c>
      <c r="B11" s="11" t="s">
        <v>367</v>
      </c>
      <c r="C11" s="11" t="s">
        <v>368</v>
      </c>
      <c r="D11" s="11" t="s">
        <v>315</v>
      </c>
      <c r="E11" s="11" t="s">
        <v>369</v>
      </c>
      <c r="F11" s="11" t="s">
        <v>370</v>
      </c>
      <c r="G11" s="11" t="s">
        <v>371</v>
      </c>
      <c r="H11" s="11" t="s">
        <v>372</v>
      </c>
    </row>
    <row r="12" ht="96.0" customHeight="1">
      <c r="A12" s="41" t="s">
        <v>373</v>
      </c>
      <c r="B12" s="11" t="s">
        <v>374</v>
      </c>
      <c r="C12" s="11" t="s">
        <v>375</v>
      </c>
      <c r="D12" s="11" t="s">
        <v>315</v>
      </c>
      <c r="E12" s="11" t="s">
        <v>376</v>
      </c>
      <c r="F12" s="11" t="s">
        <v>377</v>
      </c>
      <c r="G12" s="11" t="s">
        <v>378</v>
      </c>
      <c r="H12" s="11" t="s">
        <v>379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1.22" defaultRowHeight="15.0"/>
  <cols>
    <col customWidth="1" min="1" max="1" width="12.22"/>
    <col customWidth="1" min="2" max="2" width="21.0"/>
    <col customWidth="1" min="3" max="3" width="35.0"/>
    <col customWidth="1" min="4" max="4" width="7.0"/>
    <col customWidth="1" min="5" max="5" width="13.11"/>
    <col customWidth="1" min="6" max="6" width="12.22"/>
    <col customWidth="1" min="7" max="7" width="52.44"/>
    <col customWidth="1" min="8" max="9" width="26.22"/>
    <col customWidth="1" min="10" max="11" width="12.67"/>
  </cols>
  <sheetData>
    <row r="1">
      <c r="A1" s="8" t="s">
        <v>380</v>
      </c>
    </row>
    <row r="2" ht="18.0" customHeight="1">
      <c r="A2" s="18"/>
    </row>
    <row r="3">
      <c r="A3" s="19" t="s">
        <v>381</v>
      </c>
      <c r="B3" s="19" t="s">
        <v>14</v>
      </c>
      <c r="C3" s="19" t="s">
        <v>94</v>
      </c>
      <c r="D3" s="19" t="s">
        <v>93</v>
      </c>
      <c r="E3" s="19" t="s">
        <v>382</v>
      </c>
      <c r="F3" s="19" t="s">
        <v>383</v>
      </c>
      <c r="G3" s="19" t="s">
        <v>384</v>
      </c>
      <c r="H3" s="19" t="s">
        <v>385</v>
      </c>
      <c r="I3" s="19" t="s">
        <v>386</v>
      </c>
    </row>
    <row r="4" ht="30.0" customHeight="1">
      <c r="A4" s="42"/>
      <c r="B4" s="43" t="s">
        <v>387</v>
      </c>
      <c r="C4" s="43" t="s">
        <v>388</v>
      </c>
      <c r="D4" s="44" t="s">
        <v>104</v>
      </c>
      <c r="E4" s="44" t="s">
        <v>389</v>
      </c>
      <c r="F4" s="42"/>
      <c r="G4" s="43" t="s">
        <v>91</v>
      </c>
      <c r="H4" s="45"/>
      <c r="I4" s="45"/>
    </row>
    <row r="5" ht="30.0" customHeight="1">
      <c r="A5" s="42"/>
      <c r="B5" s="43" t="s">
        <v>390</v>
      </c>
      <c r="C5" s="43" t="s">
        <v>391</v>
      </c>
      <c r="D5" s="44" t="s">
        <v>104</v>
      </c>
      <c r="E5" s="44" t="s">
        <v>389</v>
      </c>
      <c r="F5" s="42"/>
      <c r="G5" s="43" t="s">
        <v>392</v>
      </c>
      <c r="H5" s="45"/>
      <c r="I5" s="45"/>
    </row>
    <row r="6" ht="30.0" customHeight="1">
      <c r="A6" s="42"/>
      <c r="B6" s="43" t="s">
        <v>393</v>
      </c>
      <c r="C6" s="43" t="s">
        <v>394</v>
      </c>
      <c r="D6" s="44" t="s">
        <v>104</v>
      </c>
      <c r="E6" s="44" t="s">
        <v>389</v>
      </c>
      <c r="F6" s="42"/>
      <c r="G6" s="43" t="s">
        <v>392</v>
      </c>
      <c r="H6" s="45"/>
      <c r="I6" s="45"/>
    </row>
    <row r="7" ht="30.0" customHeight="1">
      <c r="A7" s="42"/>
      <c r="B7" s="43" t="s">
        <v>387</v>
      </c>
      <c r="C7" s="43" t="s">
        <v>395</v>
      </c>
      <c r="D7" s="44" t="s">
        <v>104</v>
      </c>
      <c r="E7" s="44" t="s">
        <v>396</v>
      </c>
      <c r="F7" s="42"/>
      <c r="G7" s="43" t="s">
        <v>397</v>
      </c>
      <c r="H7" s="45"/>
      <c r="I7" s="45"/>
    </row>
    <row r="8" ht="30.0" customHeight="1">
      <c r="A8" s="42"/>
      <c r="B8" s="43" t="s">
        <v>398</v>
      </c>
      <c r="C8" s="43" t="s">
        <v>399</v>
      </c>
      <c r="D8" s="44" t="s">
        <v>104</v>
      </c>
      <c r="E8" s="44" t="s">
        <v>396</v>
      </c>
      <c r="F8" s="42"/>
      <c r="G8" s="43" t="s">
        <v>400</v>
      </c>
      <c r="H8" s="45"/>
      <c r="I8" s="45"/>
    </row>
    <row r="9" ht="30.0" customHeight="1">
      <c r="A9" s="42"/>
      <c r="B9" s="43" t="s">
        <v>401</v>
      </c>
      <c r="C9" s="43" t="s">
        <v>402</v>
      </c>
      <c r="D9" s="44" t="s">
        <v>104</v>
      </c>
      <c r="E9" s="44" t="s">
        <v>396</v>
      </c>
      <c r="F9" s="42"/>
      <c r="G9" s="43" t="s">
        <v>397</v>
      </c>
      <c r="H9" s="45"/>
      <c r="I9" s="45"/>
    </row>
    <row r="10" ht="30.0" customHeight="1">
      <c r="A10" s="42"/>
      <c r="B10" s="43" t="s">
        <v>387</v>
      </c>
      <c r="C10" s="43" t="s">
        <v>403</v>
      </c>
      <c r="D10" s="44" t="s">
        <v>104</v>
      </c>
      <c r="E10" s="44" t="s">
        <v>404</v>
      </c>
      <c r="F10" s="42"/>
      <c r="G10" s="43" t="s">
        <v>400</v>
      </c>
      <c r="H10" s="45"/>
      <c r="I10" s="45"/>
    </row>
    <row r="11" ht="30.0" customHeight="1">
      <c r="A11" s="42"/>
      <c r="B11" s="43" t="s">
        <v>390</v>
      </c>
      <c r="C11" s="43" t="s">
        <v>405</v>
      </c>
      <c r="D11" s="44" t="s">
        <v>104</v>
      </c>
      <c r="E11" s="44" t="s">
        <v>404</v>
      </c>
      <c r="F11" s="42"/>
      <c r="G11" s="43" t="s">
        <v>406</v>
      </c>
      <c r="H11" s="45"/>
      <c r="I11" s="45"/>
    </row>
    <row r="12" ht="30.0" customHeight="1">
      <c r="A12" s="42"/>
      <c r="B12" s="43" t="s">
        <v>393</v>
      </c>
      <c r="C12" s="43" t="s">
        <v>407</v>
      </c>
      <c r="D12" s="44" t="s">
        <v>104</v>
      </c>
      <c r="E12" s="44" t="s">
        <v>404</v>
      </c>
      <c r="F12" s="42"/>
      <c r="G12" s="43" t="s">
        <v>408</v>
      </c>
      <c r="H12" s="45"/>
      <c r="I12" s="45"/>
    </row>
    <row r="13" ht="30.0" customHeight="1">
      <c r="A13" s="42"/>
      <c r="B13" s="43" t="s">
        <v>409</v>
      </c>
      <c r="C13" s="43" t="s">
        <v>410</v>
      </c>
      <c r="D13" s="44" t="s">
        <v>104</v>
      </c>
      <c r="E13" s="44" t="s">
        <v>404</v>
      </c>
      <c r="F13" s="42"/>
      <c r="G13" s="43" t="s">
        <v>411</v>
      </c>
      <c r="H13" s="45"/>
      <c r="I13" s="45"/>
    </row>
    <row r="14" ht="30.0" customHeight="1">
      <c r="A14" s="42"/>
      <c r="B14" s="43" t="s">
        <v>387</v>
      </c>
      <c r="C14" s="43" t="s">
        <v>412</v>
      </c>
      <c r="D14" s="44" t="s">
        <v>104</v>
      </c>
      <c r="E14" s="44" t="s">
        <v>413</v>
      </c>
      <c r="F14" s="42"/>
      <c r="G14" s="43" t="s">
        <v>414</v>
      </c>
      <c r="H14" s="45"/>
      <c r="I14" s="45"/>
    </row>
    <row r="15" ht="30.0" customHeight="1">
      <c r="A15" s="42"/>
      <c r="B15" s="43" t="s">
        <v>390</v>
      </c>
      <c r="C15" s="43" t="s">
        <v>412</v>
      </c>
      <c r="D15" s="44" t="s">
        <v>104</v>
      </c>
      <c r="E15" s="44" t="s">
        <v>413</v>
      </c>
      <c r="F15" s="42"/>
      <c r="G15" s="43" t="s">
        <v>415</v>
      </c>
      <c r="H15" s="45"/>
      <c r="I15" s="45"/>
    </row>
    <row r="16" ht="30.0" customHeight="1">
      <c r="A16" s="42"/>
      <c r="B16" s="43" t="s">
        <v>393</v>
      </c>
      <c r="C16" s="43" t="s">
        <v>412</v>
      </c>
      <c r="D16" s="44" t="s">
        <v>104</v>
      </c>
      <c r="E16" s="44" t="s">
        <v>413</v>
      </c>
      <c r="F16" s="42"/>
      <c r="G16" s="43" t="s">
        <v>416</v>
      </c>
      <c r="H16" s="45"/>
      <c r="I16" s="45"/>
    </row>
    <row r="17" ht="30.0" customHeight="1">
      <c r="A17" s="42"/>
      <c r="B17" s="43" t="s">
        <v>398</v>
      </c>
      <c r="C17" s="43" t="s">
        <v>412</v>
      </c>
      <c r="D17" s="44" t="s">
        <v>104</v>
      </c>
      <c r="E17" s="44" t="s">
        <v>413</v>
      </c>
      <c r="F17" s="42"/>
      <c r="G17" s="43" t="s">
        <v>410</v>
      </c>
      <c r="H17" s="45"/>
      <c r="I17" s="45"/>
    </row>
    <row r="18" ht="30.0" customHeight="1">
      <c r="A18" s="42"/>
      <c r="B18" s="43" t="s">
        <v>401</v>
      </c>
      <c r="C18" s="43" t="s">
        <v>412</v>
      </c>
      <c r="D18" s="44" t="s">
        <v>104</v>
      </c>
      <c r="E18" s="44" t="s">
        <v>413</v>
      </c>
      <c r="F18" s="42"/>
      <c r="G18" s="43" t="s">
        <v>410</v>
      </c>
      <c r="H18" s="45"/>
      <c r="I18" s="45"/>
    </row>
    <row r="19" ht="30.0" customHeight="1">
      <c r="A19" s="42"/>
      <c r="B19" s="43" t="s">
        <v>387</v>
      </c>
      <c r="C19" s="43" t="s">
        <v>417</v>
      </c>
      <c r="D19" s="44" t="s">
        <v>116</v>
      </c>
      <c r="E19" s="44" t="s">
        <v>418</v>
      </c>
      <c r="F19" s="42"/>
      <c r="G19" s="43" t="s">
        <v>419</v>
      </c>
      <c r="H19" s="45"/>
      <c r="I19" s="45"/>
    </row>
    <row r="20" ht="30.0" customHeight="1">
      <c r="A20" s="42"/>
      <c r="B20" s="43" t="s">
        <v>398</v>
      </c>
      <c r="C20" s="43" t="s">
        <v>420</v>
      </c>
      <c r="D20" s="44" t="s">
        <v>116</v>
      </c>
      <c r="E20" s="44" t="s">
        <v>418</v>
      </c>
      <c r="F20" s="42"/>
      <c r="G20" s="43" t="s">
        <v>421</v>
      </c>
      <c r="H20" s="45"/>
      <c r="I20" s="45"/>
    </row>
    <row r="21" ht="30.0" customHeight="1">
      <c r="A21" s="42"/>
      <c r="B21" s="43" t="s">
        <v>390</v>
      </c>
      <c r="C21" s="43" t="s">
        <v>422</v>
      </c>
      <c r="D21" s="44" t="s">
        <v>116</v>
      </c>
      <c r="E21" s="44" t="s">
        <v>418</v>
      </c>
      <c r="F21" s="42"/>
      <c r="G21" s="43" t="s">
        <v>423</v>
      </c>
      <c r="H21" s="45"/>
      <c r="I21" s="45"/>
    </row>
    <row r="22" ht="30.0" customHeight="1">
      <c r="A22" s="42"/>
      <c r="B22" s="43" t="s">
        <v>390</v>
      </c>
      <c r="C22" s="43" t="s">
        <v>424</v>
      </c>
      <c r="D22" s="44" t="s">
        <v>116</v>
      </c>
      <c r="E22" s="44" t="s">
        <v>425</v>
      </c>
      <c r="F22" s="42"/>
      <c r="G22" s="43" t="s">
        <v>426</v>
      </c>
      <c r="H22" s="45"/>
      <c r="I22" s="45"/>
    </row>
    <row r="23" ht="30.0" customHeight="1">
      <c r="A23" s="42"/>
      <c r="B23" s="43" t="s">
        <v>401</v>
      </c>
      <c r="C23" s="43" t="s">
        <v>427</v>
      </c>
      <c r="D23" s="44" t="s">
        <v>116</v>
      </c>
      <c r="E23" s="44" t="s">
        <v>428</v>
      </c>
      <c r="F23" s="42"/>
      <c r="G23" s="43" t="s">
        <v>429</v>
      </c>
      <c r="H23" s="45"/>
      <c r="I23" s="45"/>
    </row>
    <row r="24" ht="30.0" customHeight="1">
      <c r="A24" s="42"/>
      <c r="B24" s="43" t="s">
        <v>393</v>
      </c>
      <c r="C24" s="43" t="s">
        <v>430</v>
      </c>
      <c r="D24" s="44" t="s">
        <v>116</v>
      </c>
      <c r="E24" s="44" t="s">
        <v>425</v>
      </c>
      <c r="F24" s="42"/>
      <c r="G24" s="43" t="s">
        <v>431</v>
      </c>
      <c r="H24" s="45"/>
      <c r="I24" s="45"/>
    </row>
    <row r="25" ht="30.0" customHeight="1">
      <c r="A25" s="42"/>
      <c r="B25" s="43" t="s">
        <v>387</v>
      </c>
      <c r="C25" s="43" t="s">
        <v>432</v>
      </c>
      <c r="D25" s="44" t="s">
        <v>116</v>
      </c>
      <c r="E25" s="44" t="s">
        <v>433</v>
      </c>
      <c r="F25" s="42"/>
      <c r="G25" s="43" t="s">
        <v>434</v>
      </c>
      <c r="H25" s="45"/>
      <c r="I25" s="45"/>
    </row>
    <row r="26" ht="30.0" customHeight="1">
      <c r="A26" s="42"/>
      <c r="B26" s="43" t="s">
        <v>435</v>
      </c>
      <c r="C26" s="43" t="s">
        <v>436</v>
      </c>
      <c r="D26" s="44" t="s">
        <v>116</v>
      </c>
      <c r="E26" s="44" t="s">
        <v>433</v>
      </c>
      <c r="F26" s="42"/>
      <c r="G26" s="43" t="s">
        <v>437</v>
      </c>
      <c r="H26" s="45"/>
      <c r="I26" s="45"/>
    </row>
    <row r="27" ht="30.0" customHeight="1">
      <c r="A27" s="42"/>
      <c r="B27" s="43" t="s">
        <v>315</v>
      </c>
      <c r="C27" s="43" t="s">
        <v>438</v>
      </c>
      <c r="D27" s="44" t="s">
        <v>116</v>
      </c>
      <c r="E27" s="44" t="s">
        <v>439</v>
      </c>
      <c r="F27" s="42"/>
      <c r="G27" s="43" t="s">
        <v>440</v>
      </c>
      <c r="H27" s="45"/>
      <c r="I27" s="45"/>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sheetData>
  <mergeCells count="2">
    <mergeCell ref="A1:I1"/>
    <mergeCell ref="A2:I2"/>
  </mergeCells>
  <conditionalFormatting sqref="F4:F27">
    <cfRule type="cellIs" dxfId="0" priority="1" operator="equal">
      <formula>"Não iniciado"</formula>
    </cfRule>
  </conditionalFormatting>
  <conditionalFormatting sqref="F4:F27">
    <cfRule type="cellIs" dxfId="1" priority="2" operator="equal">
      <formula>"Em andamento"</formula>
    </cfRule>
  </conditionalFormatting>
  <conditionalFormatting sqref="F4:F27">
    <cfRule type="cellIs" dxfId="2" priority="3" operator="equal">
      <formula>"Concluído"</formula>
    </cfRule>
  </conditionalFormatting>
  <conditionalFormatting sqref="F4:F27">
    <cfRule type="cellIs" dxfId="3" priority="4" operator="equal">
      <formula>"Atrasado"</formula>
    </cfRule>
  </conditionalFormatting>
  <conditionalFormatting sqref="F4:F27">
    <cfRule type="cellIs" dxfId="4" priority="5" operator="equal">
      <formula>"Bloqueado"</formula>
    </cfRule>
  </conditionalFormatting>
  <dataValidations>
    <dataValidation type="list" allowBlank="1" sqref="F4:F27">
      <formula1>"Não iniciado,Em andamento,Concluído,Atrasado,Bloqueado"</formula1>
    </dataValidation>
  </dataValidation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2026-06-19T02:05:28Z</dcterms:created>
  <dc:creator>openpyxl</dc:creator>
</cp:coreProperties>
</file>

<file path=docProps/custom.xml><?xml version="1.0" encoding="utf-8"?>
<Properties xmlns="http://schemas.openxmlformats.org/officeDocument/2006/custom-properties" xmlns:vt="http://schemas.openxmlformats.org/officeDocument/2006/docPropsVTypes"/>
</file>